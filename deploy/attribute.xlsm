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develop\quanta\deploy\"/>
    </mc:Choice>
  </mc:AlternateContent>
  <xr:revisionPtr revIDLastSave="0" documentId="13_ncr:1_{3780F4A1-0B01-4AE4-9DFD-B6B828B49C6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attribute" sheetId="1" r:id="rId1"/>
    <sheet name="player_attr" sheetId="2" r:id="rId2"/>
    <sheet name="validat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/>
  <c r="D26" i="1"/>
  <c r="H6" i="1"/>
  <c r="H7" i="1"/>
  <c r="H8" i="1"/>
  <c r="H5" i="1"/>
  <c r="D21" i="1" l="1"/>
  <c r="D22" i="1"/>
  <c r="D19" i="1"/>
  <c r="D20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4" i="1"/>
  <c r="D23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<sst xmlns="http://schemas.openxmlformats.org/spreadsheetml/2006/main" count="253" uniqueCount="142">
  <si>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</si>
  <si>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</si>
  <si>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</si>
  <si>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</si>
  <si>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</si>
  <si>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</si>
  <si>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</si>
  <si>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</si>
  <si>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</si>
  <si>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</si>
  <si>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</si>
  <si>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</si>
  <si>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</si>
  <si>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</si>
  <si>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</si>
  <si>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</si>
  <si>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</si>
  <si>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</si>
  <si>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</si>
  <si>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</si>
  <si>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</si>
  <si>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</si>
  <si>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</si>
  <si>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</si>
  <si>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</si>
  <si>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</si>
  <si>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</si>
  <si>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</si>
  <si>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</si>
  <si>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</si>
  <si>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</si>
  <si>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</si>
  <si>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</si>
  <si>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</si>
  <si>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</si>
  <si>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</si>
  <si>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</si>
  <si>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</si>
  <si>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</si>
  <si>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</si>
  <si>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</si>
  <si>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</si>
  <si>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</si>
  <si>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</si>
  <si>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</si>
  <si>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</si>
  <si>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</si>
  <si>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</si>
  <si>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</si>
  <si>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</si>
  <si>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</si>
  <si>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</si>
  <si>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</si>
  <si>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</si>
  <si>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</si>
  <si>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</si>
  <si>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</si>
  <si>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</si>
  <si>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</si>
  <si>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</si>
  <si>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</si>
  <si>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</si>
  <si>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</si>
  <si>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</si>
  <si>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</si>
  <si>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</si>
  <si>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</si>
  <si>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</si>
  <si>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</si>
  <si>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</si>
  <si>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</si>
  <si>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</si>
  <si>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</si>
  <si>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</si>
  <si>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</si>
  <si>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限制属性</t>
  </si>
  <si>
    <t>range</t>
  </si>
  <si>
    <t>save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</si>
  <si>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</si>
  <si>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</si>
  <si>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</si>
  <si>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</si>
  <si>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</si>
  <si>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</si>
  <si>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</si>
  <si>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</si>
  <si>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</si>
  <si>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</si>
  <si>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</si>
  <si>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</si>
  <si>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</si>
  <si>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</si>
  <si>
    <t>ATTR_ONLINE_TIME</t>
    <phoneticPr fontId="5" type="noConversion"/>
  </si>
  <si>
    <t>累计在线时间</t>
    <phoneticPr fontId="5" type="noConversion"/>
  </si>
  <si>
    <r>
      <t>ATTR_STAMI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</si>
  <si>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INA_MAX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</si>
  <si>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</t>
    </r>
    <phoneticPr fontId="5" type="noConversion"/>
  </si>
  <si>
    <r>
      <t>ATTR_STA</t>
    </r>
    <r>
      <rPr>
        <sz val="9"/>
        <color theme="1"/>
        <rFont val="微软雅黑"/>
        <family val="2"/>
        <charset val="134"/>
      </rPr>
      <t>M</t>
    </r>
    <r>
      <rPr>
        <sz val="9"/>
        <color theme="1"/>
        <rFont val="微软雅黑"/>
        <charset val="134"/>
      </rPr>
      <t>I</t>
    </r>
    <r>
      <rPr>
        <sz val="9"/>
        <color theme="1"/>
        <rFont val="微软雅黑"/>
        <family val="2"/>
        <charset val="134"/>
      </rPr>
      <t>N</t>
    </r>
    <r>
      <rPr>
        <sz val="9"/>
        <color theme="1"/>
        <rFont val="微软雅黑"/>
        <charset val="134"/>
      </rPr>
      <t>A_MAX</t>
    </r>
    <phoneticPr fontId="5" type="noConversion"/>
  </si>
  <si>
    <t>ATTR_LOGIN_TIME</t>
    <phoneticPr fontId="7" type="noConversion"/>
  </si>
  <si>
    <t>login_time</t>
    <phoneticPr fontId="7" type="noConversion"/>
  </si>
  <si>
    <t>int</t>
    <phoneticPr fontId="7" type="noConversion"/>
  </si>
  <si>
    <t>登录/出时间</t>
    <phoneticPr fontId="7" type="noConversion"/>
  </si>
  <si>
    <t>limit</t>
    <phoneticPr fontId="5" type="noConversion"/>
  </si>
  <si>
    <t>share</t>
    <phoneticPr fontId="5" type="noConversion"/>
  </si>
  <si>
    <t>是否共享</t>
    <phoneticPr fontId="5" type="noConversion"/>
  </si>
  <si>
    <t>复合属性</t>
    <phoneticPr fontId="5" type="noConversion"/>
  </si>
  <si>
    <t>complex</t>
    <phoneticPr fontId="5" type="noConversion"/>
  </si>
  <si>
    <t>ATTR_CRITICAL_RATE</t>
    <phoneticPr fontId="5" type="noConversion"/>
  </si>
  <si>
    <t>float</t>
    <phoneticPr fontId="5" type="noConversion"/>
  </si>
  <si>
    <t>表名</t>
    <phoneticPr fontId="5" type="noConversion"/>
  </si>
  <si>
    <t>字段</t>
    <phoneticPr fontId="5" type="noConversion"/>
  </si>
  <si>
    <t>name</t>
    <phoneticPr fontId="5" type="noConversion"/>
  </si>
  <si>
    <t>field</t>
    <phoneticPr fontId="5" type="noConversion"/>
  </si>
  <si>
    <t>required</t>
    <phoneticPr fontId="5" type="noConversion"/>
  </si>
  <si>
    <t>必须</t>
    <phoneticPr fontId="5" type="noConversion"/>
  </si>
  <si>
    <t>bool</t>
    <phoneticPr fontId="5" type="noConversion"/>
  </si>
  <si>
    <t>外键</t>
    <phoneticPr fontId="5" type="noConversion"/>
  </si>
  <si>
    <t>foreign</t>
    <phoneticPr fontId="5" type="noConversion"/>
  </si>
  <si>
    <t>主键</t>
    <phoneticPr fontId="5" type="noConversion"/>
  </si>
  <si>
    <t>范围</t>
    <phoneticPr fontId="5" type="noConversion"/>
  </si>
  <si>
    <t>array</t>
    <phoneticPr fontId="5" type="noConversion"/>
  </si>
  <si>
    <t>range</t>
    <phoneticPr fontId="5" type="noConversion"/>
  </si>
  <si>
    <t>枚举</t>
    <phoneticPr fontId="5" type="noConversion"/>
  </si>
  <si>
    <t>attribute</t>
  </si>
  <si>
    <t>player_attr</t>
  </si>
  <si>
    <t>id</t>
    <phoneticPr fontId="5" type="noConversion"/>
  </si>
  <si>
    <t>type</t>
  </si>
  <si>
    <t>key</t>
    <phoneticPr fontId="5" type="noConversion"/>
  </si>
  <si>
    <t>attribute</t>
    <phoneticPr fontId="5" type="noConversion"/>
  </si>
  <si>
    <t>enum_i</t>
    <phoneticPr fontId="5" type="noConversion"/>
  </si>
  <si>
    <t>数值枚举</t>
    <phoneticPr fontId="5" type="noConversion"/>
  </si>
  <si>
    <t>enum_s</t>
    <phoneticPr fontId="5" type="noConversion"/>
  </si>
  <si>
    <t>sarray</t>
    <phoneticPr fontId="5" type="noConversion"/>
  </si>
  <si>
    <t>attribute,id</t>
    <phoneticPr fontId="5" type="noConversion"/>
  </si>
  <si>
    <t>file</t>
    <phoneticPr fontId="5" type="noConversion"/>
  </si>
  <si>
    <t>attribute.lua</t>
    <phoneticPr fontId="5" type="noConversion"/>
  </si>
  <si>
    <t>player_attr</t>
    <phoneticPr fontId="5" type="noConversion"/>
  </si>
  <si>
    <t>player_attr.lua</t>
    <phoneticPr fontId="5" type="noConversion"/>
  </si>
  <si>
    <t>自定义检测文件</t>
    <phoneticPr fontId="5" type="noConversion"/>
  </si>
  <si>
    <t>定位辅助符</t>
    <phoneticPr fontId="5" type="noConversion"/>
  </si>
  <si>
    <t>primary</t>
    <phoneticPr fontId="5" type="noConversion"/>
  </si>
  <si>
    <t>location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</si>
</sst>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0" fillId="3" borderId="0" xfId="0" applyFill="1"/>
    <xf numFmtId="0" fontId="6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0"/>
  <sheetViews>
    <sheetView zoomScale="115" zoomScaleNormal="115" workbookViewId="0">
      <pane xSplit="2" topLeftCell="C1" activePane="topRight" state="frozen"/>
      <selection pane="topRight" activeCell="F4" sqref="F4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8" width="15.875" style="4" customWidth="1"/>
    <col min="9" max="9" width="31.75" style="4" customWidth="1"/>
    <col min="10" max="16384" width="9" style="4"/>
  </cols>
  <sheetData>
    <row r="1" spans="1:9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79</v>
      </c>
      <c r="F1" s="6" t="s">
        <v>105</v>
      </c>
      <c r="G1" s="2" t="s">
        <v>4</v>
      </c>
      <c r="H1" s="2" t="s">
        <v>75</v>
      </c>
      <c r="I1" s="2" t="s">
        <v>5</v>
      </c>
    </row>
    <row r="2" spans="1:9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  <c r="G2" s="4" t="s">
        <v>9</v>
      </c>
      <c r="H2" s="6" t="s">
        <v>78</v>
      </c>
    </row>
    <row r="3" spans="1:9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  <c r="G3" s="4" t="s">
        <v>9</v>
      </c>
      <c r="H3" s="6" t="s">
        <v>78</v>
      </c>
    </row>
    <row r="4" spans="1:9" x14ac:dyDescent="0.2">
      <c r="A4" s="3" t="s">
        <v>11</v>
      </c>
      <c r="B4" s="6" t="s">
        <v>125</v>
      </c>
      <c r="C4" s="2" t="s">
        <v>13</v>
      </c>
      <c r="D4" s="2" t="s">
        <v>14</v>
      </c>
      <c r="E4" s="6" t="s">
        <v>80</v>
      </c>
      <c r="F4" s="6" t="s">
        <v>106</v>
      </c>
      <c r="G4" s="2" t="s">
        <v>15</v>
      </c>
      <c r="H4" s="6" t="s">
        <v>102</v>
      </c>
    </row>
    <row r="5" spans="1:9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81</v>
      </c>
      <c r="F5" s="4">
        <v>0</v>
      </c>
      <c r="G5" s="2">
        <v>1</v>
      </c>
      <c r="H5" s="4" t="str">
        <f>CONCATENATE(C5,"_MAX")</f>
        <v>ATTR_HP_MAX</v>
      </c>
      <c r="I5" s="2" t="s">
        <v>18</v>
      </c>
    </row>
    <row r="6" spans="1:9" x14ac:dyDescent="0.2">
      <c r="B6" s="4">
        <v>2</v>
      </c>
      <c r="C6" s="2" t="s">
        <v>19</v>
      </c>
      <c r="D6" s="2" t="str">
        <f t="shared" ref="D6:D35" si="0">LOWER(SUBSTITUTE(C6,"ATTR_",""))</f>
        <v>mp</v>
      </c>
      <c r="E6" s="6" t="s">
        <v>81</v>
      </c>
      <c r="F6" s="4">
        <v>0</v>
      </c>
      <c r="G6" s="2">
        <v>1</v>
      </c>
      <c r="H6" s="4" t="str">
        <f>CONCATENATE(C6,"_MAX")</f>
        <v>ATTR_MP_MAX</v>
      </c>
      <c r="I6" s="2" t="s">
        <v>20</v>
      </c>
    </row>
    <row r="7" spans="1:9" x14ac:dyDescent="0.2">
      <c r="B7" s="4">
        <v>3</v>
      </c>
      <c r="C7" s="6" t="s">
        <v>94</v>
      </c>
      <c r="D7" s="2" t="str">
        <f t="shared" si="0"/>
        <v>stamina</v>
      </c>
      <c r="E7" s="6" t="s">
        <v>81</v>
      </c>
      <c r="F7" s="4">
        <v>0</v>
      </c>
      <c r="G7" s="2">
        <v>1</v>
      </c>
      <c r="H7" s="4" t="str">
        <f>CONCATENATE(C7,"_MAX")</f>
        <v>ATTR_STAMINA_MAX</v>
      </c>
      <c r="I7" s="2" t="s">
        <v>21</v>
      </c>
    </row>
    <row r="8" spans="1:9" x14ac:dyDescent="0.2">
      <c r="B8" s="4">
        <v>4</v>
      </c>
      <c r="C8" s="2" t="s">
        <v>22</v>
      </c>
      <c r="D8" s="2" t="str">
        <f t="shared" si="0"/>
        <v>exp</v>
      </c>
      <c r="E8" s="6" t="s">
        <v>81</v>
      </c>
      <c r="F8" s="4">
        <v>0</v>
      </c>
      <c r="G8" s="2">
        <v>1</v>
      </c>
      <c r="H8" s="4" t="str">
        <f>CONCATENATE(C8,"_MAX")</f>
        <v>ATTR_EXP_MAX</v>
      </c>
      <c r="I8" s="2" t="s">
        <v>23</v>
      </c>
    </row>
    <row r="9" spans="1:9" x14ac:dyDescent="0.2">
      <c r="B9" s="4">
        <v>5</v>
      </c>
      <c r="C9" s="2" t="s">
        <v>24</v>
      </c>
      <c r="D9" s="2" t="str">
        <f t="shared" si="0"/>
        <v>hp_max</v>
      </c>
      <c r="E9" s="6" t="s">
        <v>81</v>
      </c>
      <c r="F9" s="6">
        <v>1</v>
      </c>
      <c r="G9" s="2">
        <v>1</v>
      </c>
      <c r="H9" s="6"/>
      <c r="I9" s="2" t="s">
        <v>25</v>
      </c>
    </row>
    <row r="10" spans="1:9" x14ac:dyDescent="0.2">
      <c r="B10" s="4">
        <v>6</v>
      </c>
      <c r="C10" s="2" t="s">
        <v>26</v>
      </c>
      <c r="D10" s="2" t="str">
        <f t="shared" si="0"/>
        <v>mp_max</v>
      </c>
      <c r="E10" s="6" t="s">
        <v>81</v>
      </c>
      <c r="F10" s="6">
        <v>1</v>
      </c>
      <c r="G10" s="2">
        <v>1</v>
      </c>
      <c r="H10" s="6"/>
      <c r="I10" s="2" t="s">
        <v>27</v>
      </c>
    </row>
    <row r="11" spans="1:9" x14ac:dyDescent="0.2">
      <c r="B11" s="4">
        <v>7</v>
      </c>
      <c r="C11" s="6" t="s">
        <v>95</v>
      </c>
      <c r="D11" s="2" t="str">
        <f t="shared" si="0"/>
        <v>stamina_max</v>
      </c>
      <c r="E11" s="6" t="s">
        <v>81</v>
      </c>
      <c r="F11" s="6">
        <v>1</v>
      </c>
      <c r="G11" s="2">
        <v>1</v>
      </c>
      <c r="H11" s="6"/>
      <c r="I11" s="2" t="s">
        <v>28</v>
      </c>
    </row>
    <row r="12" spans="1:9" x14ac:dyDescent="0.2">
      <c r="B12" s="4">
        <v>8</v>
      </c>
      <c r="C12" s="2" t="s">
        <v>29</v>
      </c>
      <c r="D12" s="2" t="str">
        <f t="shared" si="0"/>
        <v>exp_max</v>
      </c>
      <c r="E12" s="6" t="s">
        <v>81</v>
      </c>
      <c r="F12" s="2">
        <v>0</v>
      </c>
      <c r="G12" s="2">
        <v>1</v>
      </c>
      <c r="H12" s="6"/>
      <c r="I12" s="2" t="s">
        <v>30</v>
      </c>
    </row>
    <row r="13" spans="1:9" x14ac:dyDescent="0.2">
      <c r="B13" s="4">
        <v>9</v>
      </c>
      <c r="C13" s="2" t="s">
        <v>31</v>
      </c>
      <c r="D13" s="2" t="str">
        <f t="shared" si="0"/>
        <v>level</v>
      </c>
      <c r="E13" s="6" t="s">
        <v>81</v>
      </c>
      <c r="F13" s="2">
        <v>0</v>
      </c>
      <c r="G13" s="2">
        <v>0</v>
      </c>
      <c r="H13" s="6"/>
      <c r="I13" s="2" t="s">
        <v>32</v>
      </c>
    </row>
    <row r="14" spans="1:9" x14ac:dyDescent="0.2">
      <c r="B14" s="4">
        <v>10</v>
      </c>
      <c r="C14" s="2" t="s">
        <v>33</v>
      </c>
      <c r="D14" s="2" t="str">
        <f t="shared" ref="D14:D15" si="1">LOWER(SUBSTITUTE(C14,"ATTR_",""))</f>
        <v>coin</v>
      </c>
      <c r="E14" s="6" t="s">
        <v>81</v>
      </c>
      <c r="F14" s="2">
        <v>0</v>
      </c>
      <c r="G14" s="2">
        <v>1</v>
      </c>
      <c r="H14" s="6"/>
      <c r="I14" s="2" t="s">
        <v>34</v>
      </c>
    </row>
    <row r="15" spans="1:9" x14ac:dyDescent="0.2">
      <c r="B15" s="4">
        <v>11</v>
      </c>
      <c r="C15" s="6" t="s">
        <v>90</v>
      </c>
      <c r="D15" s="2" t="str">
        <f t="shared" si="1"/>
        <v>name</v>
      </c>
      <c r="E15" s="6" t="s">
        <v>78</v>
      </c>
      <c r="F15" s="2">
        <v>0</v>
      </c>
      <c r="G15" s="2">
        <v>0</v>
      </c>
      <c r="H15" s="6"/>
      <c r="I15" s="6" t="s">
        <v>91</v>
      </c>
    </row>
    <row r="16" spans="1:9" x14ac:dyDescent="0.2">
      <c r="B16" s="4">
        <v>12</v>
      </c>
      <c r="C16" s="2" t="s">
        <v>35</v>
      </c>
      <c r="D16" s="2" t="str">
        <f t="shared" si="0"/>
        <v>diamond</v>
      </c>
      <c r="E16" s="6" t="s">
        <v>81</v>
      </c>
      <c r="F16" s="2">
        <v>0</v>
      </c>
      <c r="G16" s="2">
        <v>1</v>
      </c>
      <c r="H16" s="6"/>
      <c r="I16" s="2" t="s">
        <v>36</v>
      </c>
    </row>
    <row r="17" spans="2:10" x14ac:dyDescent="0.2">
      <c r="B17" s="4">
        <v>13</v>
      </c>
      <c r="C17" s="5" t="s">
        <v>37</v>
      </c>
      <c r="D17" s="5" t="str">
        <f t="shared" si="0"/>
        <v>proto_id</v>
      </c>
      <c r="E17" s="6" t="s">
        <v>81</v>
      </c>
      <c r="F17" s="2">
        <v>0</v>
      </c>
      <c r="G17" s="5">
        <v>0</v>
      </c>
      <c r="H17" s="6"/>
      <c r="I17" s="2" t="s">
        <v>38</v>
      </c>
    </row>
    <row r="18" spans="2:10" x14ac:dyDescent="0.2">
      <c r="B18" s="4">
        <v>14</v>
      </c>
      <c r="C18" s="2" t="s">
        <v>39</v>
      </c>
      <c r="D18" s="2" t="str">
        <f>LOWER(SUBSTITUTE(C18,"ATTR_",""))</f>
        <v>lucky</v>
      </c>
      <c r="E18" s="6" t="s">
        <v>81</v>
      </c>
      <c r="F18" s="2">
        <v>0</v>
      </c>
      <c r="G18" s="2">
        <v>1</v>
      </c>
      <c r="H18" s="6"/>
      <c r="I18" s="2" t="s">
        <v>40</v>
      </c>
    </row>
    <row r="19" spans="2:10" x14ac:dyDescent="0.2">
      <c r="B19" s="4">
        <v>15</v>
      </c>
      <c r="C19" s="5" t="s">
        <v>83</v>
      </c>
      <c r="D19" s="5" t="str">
        <f t="shared" si="0"/>
        <v>gender</v>
      </c>
      <c r="E19" s="6" t="s">
        <v>81</v>
      </c>
      <c r="F19" s="2">
        <v>0</v>
      </c>
      <c r="G19" s="5">
        <v>0</v>
      </c>
      <c r="H19" s="6"/>
      <c r="I19" s="6" t="s">
        <v>85</v>
      </c>
    </row>
    <row r="20" spans="2:10" x14ac:dyDescent="0.2">
      <c r="B20" s="4">
        <v>16</v>
      </c>
      <c r="C20" s="5" t="s">
        <v>82</v>
      </c>
      <c r="D20" s="2" t="str">
        <f>LOWER(SUBSTITUTE(C20,"ATTR_",""))</f>
        <v>custom</v>
      </c>
      <c r="E20" s="6" t="s">
        <v>84</v>
      </c>
      <c r="F20" s="2">
        <v>0</v>
      </c>
      <c r="G20" s="5">
        <v>0</v>
      </c>
      <c r="H20" s="6"/>
      <c r="I20" s="6" t="s">
        <v>86</v>
      </c>
    </row>
    <row r="21" spans="2:10" x14ac:dyDescent="0.2">
      <c r="B21" s="4">
        <v>17</v>
      </c>
      <c r="C21" s="6" t="s">
        <v>88</v>
      </c>
      <c r="D21" s="2" t="str">
        <f t="shared" ref="D21" si="2">LOWER(SUBSTITUTE(C21,"ATTR_",""))</f>
        <v>version</v>
      </c>
      <c r="E21" s="6" t="s">
        <v>81</v>
      </c>
      <c r="F21" s="2">
        <v>0</v>
      </c>
      <c r="G21" s="2">
        <v>0</v>
      </c>
      <c r="H21" s="6"/>
      <c r="I21" s="6" t="s">
        <v>89</v>
      </c>
    </row>
    <row r="22" spans="2:10" x14ac:dyDescent="0.2">
      <c r="B22" s="4">
        <v>18</v>
      </c>
      <c r="C22" s="6" t="s">
        <v>92</v>
      </c>
      <c r="D22" s="2" t="str">
        <f t="shared" ref="D22" si="3">LOWER(SUBSTITUTE(C22,"ATTR_",""))</f>
        <v>online_time</v>
      </c>
      <c r="E22" s="6" t="s">
        <v>81</v>
      </c>
      <c r="F22" s="2">
        <v>0</v>
      </c>
      <c r="G22" s="2">
        <v>1</v>
      </c>
      <c r="H22" s="6"/>
      <c r="I22" s="6" t="s">
        <v>93</v>
      </c>
    </row>
    <row r="23" spans="2:10" x14ac:dyDescent="0.2">
      <c r="B23" s="4">
        <v>21</v>
      </c>
      <c r="C23" s="2" t="s">
        <v>41</v>
      </c>
      <c r="D23" s="2" t="str">
        <f t="shared" si="0"/>
        <v>attack</v>
      </c>
      <c r="E23" s="6" t="s">
        <v>81</v>
      </c>
      <c r="F23" s="2">
        <v>1</v>
      </c>
      <c r="G23" s="2">
        <v>1</v>
      </c>
      <c r="H23" s="6"/>
      <c r="I23" s="2" t="s">
        <v>42</v>
      </c>
    </row>
    <row r="24" spans="2:10" x14ac:dyDescent="0.2">
      <c r="B24" s="4">
        <v>22</v>
      </c>
      <c r="C24" s="2" t="s">
        <v>43</v>
      </c>
      <c r="D24" s="2" t="str">
        <f t="shared" si="0"/>
        <v>defence</v>
      </c>
      <c r="E24" s="6" t="s">
        <v>81</v>
      </c>
      <c r="F24" s="2">
        <v>1</v>
      </c>
      <c r="G24" s="2">
        <v>1</v>
      </c>
      <c r="H24" s="6"/>
      <c r="I24" s="4" t="s">
        <v>44</v>
      </c>
    </row>
    <row r="25" spans="2:10" x14ac:dyDescent="0.2">
      <c r="B25" s="4">
        <v>23</v>
      </c>
      <c r="C25" s="6" t="s">
        <v>107</v>
      </c>
      <c r="D25" s="4" t="str">
        <f t="shared" si="0"/>
        <v>critical_rate</v>
      </c>
      <c r="E25" s="6" t="s">
        <v>108</v>
      </c>
      <c r="F25" s="2">
        <v>0</v>
      </c>
      <c r="G25" s="4">
        <v>1</v>
      </c>
      <c r="H25" s="6"/>
      <c r="I25" s="4" t="s">
        <v>46</v>
      </c>
      <c r="J25" s="2"/>
    </row>
    <row r="26" spans="2:10" x14ac:dyDescent="0.2">
      <c r="B26" s="4">
        <v>24</v>
      </c>
      <c r="C26" s="4" t="s">
        <v>47</v>
      </c>
      <c r="D26" s="4" t="str">
        <f t="shared" si="0"/>
        <v>critical_hurt</v>
      </c>
      <c r="E26" s="6" t="s">
        <v>108</v>
      </c>
      <c r="F26" s="2">
        <v>0</v>
      </c>
      <c r="G26" s="4">
        <v>1</v>
      </c>
      <c r="H26" s="6"/>
      <c r="I26" s="4" t="s">
        <v>48</v>
      </c>
    </row>
    <row r="27" spans="2:10" s="7" customFormat="1" x14ac:dyDescent="0.2">
      <c r="B27" s="7">
        <v>33</v>
      </c>
      <c r="C27" s="8" t="s">
        <v>98</v>
      </c>
      <c r="D27" s="8" t="s">
        <v>99</v>
      </c>
      <c r="E27" s="8" t="s">
        <v>100</v>
      </c>
      <c r="F27" s="2">
        <v>0</v>
      </c>
      <c r="G27" s="8">
        <v>0</v>
      </c>
      <c r="H27" s="8"/>
      <c r="I27" s="7" t="s">
        <v>101</v>
      </c>
    </row>
    <row r="28" spans="2:10" x14ac:dyDescent="0.2">
      <c r="B28" s="4">
        <v>51</v>
      </c>
      <c r="C28" s="2" t="s">
        <v>49</v>
      </c>
      <c r="D28" s="2" t="str">
        <f t="shared" si="0"/>
        <v>head</v>
      </c>
      <c r="E28" s="6" t="s">
        <v>81</v>
      </c>
      <c r="F28" s="2">
        <v>0</v>
      </c>
      <c r="G28" s="2">
        <v>0</v>
      </c>
      <c r="H28" s="6"/>
      <c r="I28" s="2" t="s">
        <v>50</v>
      </c>
    </row>
    <row r="29" spans="2:10" x14ac:dyDescent="0.2">
      <c r="B29" s="4">
        <v>52</v>
      </c>
      <c r="C29" s="2" t="s">
        <v>51</v>
      </c>
      <c r="D29" s="2" t="str">
        <f t="shared" si="0"/>
        <v>face</v>
      </c>
      <c r="E29" s="6" t="s">
        <v>81</v>
      </c>
      <c r="F29" s="2">
        <v>0</v>
      </c>
      <c r="G29" s="2">
        <v>0</v>
      </c>
      <c r="H29" s="6"/>
      <c r="I29" s="2" t="s">
        <v>52</v>
      </c>
    </row>
    <row r="30" spans="2:10" x14ac:dyDescent="0.2">
      <c r="B30" s="4">
        <v>53</v>
      </c>
      <c r="C30" s="2" t="s">
        <v>53</v>
      </c>
      <c r="D30" s="2" t="str">
        <f t="shared" si="0"/>
        <v>cloth</v>
      </c>
      <c r="E30" s="6" t="s">
        <v>81</v>
      </c>
      <c r="F30" s="2">
        <v>0</v>
      </c>
      <c r="G30" s="2">
        <v>0</v>
      </c>
      <c r="H30" s="6"/>
      <c r="I30" s="2" t="s">
        <v>54</v>
      </c>
    </row>
    <row r="31" spans="2:10" x14ac:dyDescent="0.2">
      <c r="B31" s="4">
        <v>54</v>
      </c>
      <c r="C31" s="2" t="s">
        <v>55</v>
      </c>
      <c r="D31" s="2" t="str">
        <f t="shared" si="0"/>
        <v>trousers</v>
      </c>
      <c r="E31" s="6" t="s">
        <v>81</v>
      </c>
      <c r="F31" s="2">
        <v>0</v>
      </c>
      <c r="G31" s="2">
        <v>0</v>
      </c>
      <c r="H31" s="6"/>
      <c r="I31" s="2" t="s">
        <v>56</v>
      </c>
    </row>
    <row r="32" spans="2:10" x14ac:dyDescent="0.2">
      <c r="B32" s="4">
        <v>55</v>
      </c>
      <c r="C32" s="2" t="s">
        <v>57</v>
      </c>
      <c r="D32" s="2" t="str">
        <f t="shared" si="0"/>
        <v>shoes</v>
      </c>
      <c r="E32" s="6" t="s">
        <v>81</v>
      </c>
      <c r="F32" s="2">
        <v>0</v>
      </c>
      <c r="G32" s="2">
        <v>0</v>
      </c>
      <c r="H32" s="6"/>
      <c r="I32" s="2" t="s">
        <v>58</v>
      </c>
    </row>
    <row r="33" spans="2:9" x14ac:dyDescent="0.2">
      <c r="B33" s="4">
        <v>56</v>
      </c>
      <c r="C33" s="2" t="s">
        <v>59</v>
      </c>
      <c r="D33" s="2" t="str">
        <f t="shared" si="0"/>
        <v>weapon</v>
      </c>
      <c r="E33" s="6" t="s">
        <v>81</v>
      </c>
      <c r="F33" s="2">
        <v>0</v>
      </c>
      <c r="G33" s="2">
        <v>0</v>
      </c>
      <c r="H33" s="6"/>
      <c r="I33" s="2" t="s">
        <v>60</v>
      </c>
    </row>
    <row r="34" spans="2:9" x14ac:dyDescent="0.2">
      <c r="B34" s="4">
        <v>57</v>
      </c>
      <c r="C34" s="2" t="s">
        <v>61</v>
      </c>
      <c r="D34" s="2" t="str">
        <f t="shared" si="0"/>
        <v>neck</v>
      </c>
      <c r="E34" s="6" t="s">
        <v>81</v>
      </c>
      <c r="F34" s="2">
        <v>0</v>
      </c>
      <c r="G34" s="2">
        <v>0</v>
      </c>
      <c r="H34" s="6"/>
      <c r="I34" s="2" t="s">
        <v>62</v>
      </c>
    </row>
    <row r="35" spans="2:9" x14ac:dyDescent="0.2">
      <c r="B35" s="4">
        <v>58</v>
      </c>
      <c r="C35" s="2" t="s">
        <v>63</v>
      </c>
      <c r="D35" s="2" t="str">
        <f t="shared" si="0"/>
        <v>ring</v>
      </c>
      <c r="E35" s="6" t="s">
        <v>81</v>
      </c>
      <c r="F35" s="2">
        <v>0</v>
      </c>
      <c r="G35" s="2">
        <v>0</v>
      </c>
      <c r="H35" s="6"/>
      <c r="I35" s="2" t="s">
        <v>64</v>
      </c>
    </row>
    <row r="36" spans="2:9" x14ac:dyDescent="0.2">
      <c r="B36" s="4">
        <v>101</v>
      </c>
      <c r="C36" s="2" t="s">
        <v>65</v>
      </c>
      <c r="D36" s="2" t="str">
        <f>LOWER(SUBSTITUTE(C36,"ATTR_",""))</f>
        <v>map_id</v>
      </c>
      <c r="E36" s="6" t="s">
        <v>81</v>
      </c>
      <c r="F36" s="2">
        <v>0</v>
      </c>
      <c r="G36" s="2">
        <v>0</v>
      </c>
      <c r="H36" s="6"/>
      <c r="I36" s="2" t="s">
        <v>66</v>
      </c>
    </row>
    <row r="37" spans="2:9" x14ac:dyDescent="0.2">
      <c r="B37" s="4">
        <v>102</v>
      </c>
      <c r="C37" s="2" t="s">
        <v>67</v>
      </c>
      <c r="D37" s="2" t="str">
        <f>LOWER(SUBSTITUTE(C37,"ATTR_",""))</f>
        <v>pos_x</v>
      </c>
      <c r="E37" s="6" t="s">
        <v>81</v>
      </c>
      <c r="F37" s="2">
        <v>0</v>
      </c>
      <c r="G37" s="2">
        <v>0</v>
      </c>
      <c r="H37" s="6"/>
      <c r="I37" s="2" t="s">
        <v>68</v>
      </c>
    </row>
    <row r="38" spans="2:9" x14ac:dyDescent="0.2">
      <c r="B38" s="4">
        <v>103</v>
      </c>
      <c r="C38" s="2" t="s">
        <v>69</v>
      </c>
      <c r="D38" s="2" t="str">
        <f>LOWER(SUBSTITUTE(C38,"ATTR_",""))</f>
        <v>pos_y</v>
      </c>
      <c r="E38" s="6" t="s">
        <v>81</v>
      </c>
      <c r="F38" s="2">
        <v>0</v>
      </c>
      <c r="G38" s="2">
        <v>0</v>
      </c>
      <c r="H38" s="6"/>
      <c r="I38" s="2" t="s">
        <v>68</v>
      </c>
    </row>
    <row r="39" spans="2:9" x14ac:dyDescent="0.2">
      <c r="B39" s="4">
        <v>104</v>
      </c>
      <c r="C39" s="2" t="s">
        <v>70</v>
      </c>
      <c r="D39" s="2" t="str">
        <f>LOWER(SUBSTITUTE(C39,"ATTR_",""))</f>
        <v>pos_z</v>
      </c>
      <c r="E39" s="6" t="s">
        <v>81</v>
      </c>
      <c r="F39" s="2">
        <v>0</v>
      </c>
      <c r="G39" s="2">
        <v>0</v>
      </c>
      <c r="H39" s="6"/>
      <c r="I39" s="2" t="s">
        <v>68</v>
      </c>
    </row>
    <row r="40" spans="2:9" x14ac:dyDescent="0.2">
      <c r="B40" s="4">
        <v>105</v>
      </c>
      <c r="C40" s="2" t="s">
        <v>71</v>
      </c>
      <c r="D40" s="2" t="str">
        <f>LOWER(SUBSTITUTE(C40,"ATTR_",""))</f>
        <v>line</v>
      </c>
      <c r="E40" s="6" t="s">
        <v>81</v>
      </c>
      <c r="F40" s="2">
        <v>0</v>
      </c>
      <c r="G40" s="2">
        <v>0</v>
      </c>
      <c r="H40" s="6"/>
      <c r="I40" s="4" t="s">
        <v>72</v>
      </c>
    </row>
  </sheetData>
  <phoneticPr fontId="5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9"/>
  <sheetViews>
    <sheetView workbookViewId="0">
      <selection activeCell="C4" sqref="C4"/>
    </sheetView>
  </sheetViews>
  <sheetFormatPr defaultColWidth="9" defaultRowHeight="14.25" x14ac:dyDescent="0.2"/>
  <cols>
    <col min="2" max="2" width="19.875" customWidth="1"/>
    <col min="3" max="3" width="10" customWidth="1"/>
    <col min="4" max="4" width="10.25" customWidth="1"/>
  </cols>
  <sheetData>
    <row r="1" spans="1:5" ht="21" x14ac:dyDescent="0.2">
      <c r="A1" s="1" t="s">
        <v>0</v>
      </c>
      <c r="B1" s="2" t="s">
        <v>2</v>
      </c>
      <c r="C1" s="2" t="s">
        <v>73</v>
      </c>
      <c r="D1" s="2" t="s">
        <v>74</v>
      </c>
      <c r="E1" s="6" t="s">
        <v>104</v>
      </c>
    </row>
    <row r="2" spans="1:5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</row>
    <row r="3" spans="1:5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</row>
    <row r="4" spans="1:5" x14ac:dyDescent="0.2">
      <c r="A4" s="3" t="s">
        <v>11</v>
      </c>
      <c r="B4" s="6" t="s">
        <v>127</v>
      </c>
      <c r="C4" s="6" t="s">
        <v>121</v>
      </c>
      <c r="D4" s="2" t="s">
        <v>77</v>
      </c>
      <c r="E4" s="6" t="s">
        <v>103</v>
      </c>
    </row>
    <row r="5" spans="1:5" x14ac:dyDescent="0.2">
      <c r="A5" s="3" t="s">
        <v>16</v>
      </c>
      <c r="B5" s="2" t="s">
        <v>17</v>
      </c>
      <c r="C5" s="2">
        <v>16</v>
      </c>
      <c r="D5" s="2">
        <v>1</v>
      </c>
      <c r="E5" s="2">
        <v>1</v>
      </c>
    </row>
    <row r="6" spans="1:5" x14ac:dyDescent="0.2">
      <c r="A6" s="4"/>
      <c r="B6" s="2" t="s">
        <v>19</v>
      </c>
      <c r="C6" s="2">
        <v>1</v>
      </c>
      <c r="D6" s="2">
        <v>1</v>
      </c>
      <c r="E6" s="2">
        <v>1</v>
      </c>
    </row>
    <row r="7" spans="1:5" x14ac:dyDescent="0.2">
      <c r="A7" s="4"/>
      <c r="B7" s="6" t="s">
        <v>96</v>
      </c>
      <c r="C7" s="2">
        <v>1</v>
      </c>
      <c r="D7" s="2">
        <v>1</v>
      </c>
      <c r="E7" s="2">
        <v>0</v>
      </c>
    </row>
    <row r="8" spans="1:5" x14ac:dyDescent="0.2">
      <c r="A8" s="4"/>
      <c r="B8" s="2" t="s">
        <v>22</v>
      </c>
      <c r="C8" s="2">
        <v>1</v>
      </c>
      <c r="D8" s="2">
        <v>1</v>
      </c>
      <c r="E8" s="2">
        <v>0</v>
      </c>
    </row>
    <row r="9" spans="1:5" x14ac:dyDescent="0.2">
      <c r="A9" s="4"/>
      <c r="B9" s="2" t="s">
        <v>24</v>
      </c>
      <c r="C9" s="2">
        <v>16</v>
      </c>
      <c r="D9" s="2">
        <v>0</v>
      </c>
      <c r="E9" s="2">
        <v>0</v>
      </c>
    </row>
    <row r="10" spans="1:5" x14ac:dyDescent="0.2">
      <c r="A10" s="4"/>
      <c r="B10" s="2" t="s">
        <v>26</v>
      </c>
      <c r="C10" s="2">
        <v>1</v>
      </c>
      <c r="D10" s="2">
        <v>0</v>
      </c>
      <c r="E10" s="2">
        <v>0</v>
      </c>
    </row>
    <row r="11" spans="1:5" x14ac:dyDescent="0.2">
      <c r="A11" s="4"/>
      <c r="B11" s="6" t="s">
        <v>97</v>
      </c>
      <c r="C11" s="2">
        <v>1</v>
      </c>
      <c r="D11" s="2">
        <v>0</v>
      </c>
      <c r="E11" s="2">
        <v>0</v>
      </c>
    </row>
    <row r="12" spans="1:5" x14ac:dyDescent="0.2">
      <c r="A12" s="4"/>
      <c r="B12" s="2" t="s">
        <v>29</v>
      </c>
      <c r="C12" s="2">
        <v>1</v>
      </c>
      <c r="D12" s="2">
        <v>0</v>
      </c>
      <c r="E12" s="2">
        <v>0</v>
      </c>
    </row>
    <row r="13" spans="1:5" x14ac:dyDescent="0.2">
      <c r="A13" s="4"/>
      <c r="B13" s="2" t="s">
        <v>31</v>
      </c>
      <c r="C13" s="2">
        <v>16</v>
      </c>
      <c r="D13" s="2">
        <v>1</v>
      </c>
      <c r="E13" s="2">
        <v>0</v>
      </c>
    </row>
    <row r="14" spans="1:5" x14ac:dyDescent="0.2">
      <c r="A14" s="4"/>
      <c r="B14" s="2" t="s">
        <v>33</v>
      </c>
      <c r="C14" s="2">
        <v>1</v>
      </c>
      <c r="D14" s="2">
        <v>1</v>
      </c>
      <c r="E14" s="2">
        <v>0</v>
      </c>
    </row>
    <row r="15" spans="1:5" x14ac:dyDescent="0.2">
      <c r="A15" s="4"/>
      <c r="B15" s="6" t="s">
        <v>90</v>
      </c>
      <c r="C15" s="2">
        <v>16</v>
      </c>
      <c r="D15" s="2">
        <v>1</v>
      </c>
      <c r="E15" s="2">
        <v>0</v>
      </c>
    </row>
    <row r="16" spans="1:5" x14ac:dyDescent="0.2">
      <c r="A16" s="4"/>
      <c r="B16" s="2" t="s">
        <v>35</v>
      </c>
      <c r="C16" s="2">
        <v>1</v>
      </c>
      <c r="D16" s="2">
        <v>1</v>
      </c>
      <c r="E16" s="2">
        <v>0</v>
      </c>
    </row>
    <row r="17" spans="1:5" x14ac:dyDescent="0.2">
      <c r="A17" s="4"/>
      <c r="B17" s="2" t="s">
        <v>39</v>
      </c>
      <c r="C17" s="2">
        <v>1</v>
      </c>
      <c r="D17" s="2">
        <v>1</v>
      </c>
      <c r="E17" s="2">
        <v>0</v>
      </c>
    </row>
    <row r="18" spans="1:5" x14ac:dyDescent="0.2">
      <c r="A18" s="4"/>
      <c r="B18" s="6" t="s">
        <v>87</v>
      </c>
      <c r="C18" s="2">
        <v>1</v>
      </c>
      <c r="D18" s="2">
        <v>0</v>
      </c>
      <c r="E18" s="2">
        <v>0</v>
      </c>
    </row>
    <row r="19" spans="1:5" x14ac:dyDescent="0.2">
      <c r="A19" s="4"/>
      <c r="B19" s="2" t="s">
        <v>82</v>
      </c>
      <c r="C19" s="2">
        <v>16</v>
      </c>
      <c r="D19" s="2">
        <v>0</v>
      </c>
      <c r="E19" s="2">
        <v>0</v>
      </c>
    </row>
    <row r="20" spans="1:5" x14ac:dyDescent="0.2">
      <c r="A20" s="4"/>
      <c r="B20" s="6" t="s">
        <v>88</v>
      </c>
      <c r="C20" s="2">
        <v>0</v>
      </c>
      <c r="D20" s="2">
        <v>1</v>
      </c>
      <c r="E20" s="2">
        <v>0</v>
      </c>
    </row>
    <row r="21" spans="1:5" x14ac:dyDescent="0.2">
      <c r="A21" s="4"/>
      <c r="B21" s="6" t="s">
        <v>92</v>
      </c>
      <c r="C21" s="2">
        <v>1</v>
      </c>
      <c r="D21" s="2">
        <v>1</v>
      </c>
      <c r="E21" s="2">
        <v>0</v>
      </c>
    </row>
    <row r="22" spans="1:5" x14ac:dyDescent="0.2">
      <c r="A22" s="4"/>
      <c r="B22" s="2" t="s">
        <v>41</v>
      </c>
      <c r="C22" s="2">
        <v>1</v>
      </c>
      <c r="D22" s="2">
        <v>0</v>
      </c>
      <c r="E22" s="2">
        <v>0</v>
      </c>
    </row>
    <row r="23" spans="1:5" x14ac:dyDescent="0.2">
      <c r="A23" s="4"/>
      <c r="B23" s="2" t="s">
        <v>43</v>
      </c>
      <c r="C23" s="2">
        <v>1</v>
      </c>
      <c r="D23" s="2">
        <v>0</v>
      </c>
      <c r="E23" s="2">
        <v>0</v>
      </c>
    </row>
    <row r="24" spans="1:5" x14ac:dyDescent="0.2">
      <c r="A24" s="4"/>
      <c r="B24" s="4" t="s">
        <v>45</v>
      </c>
      <c r="C24" s="2">
        <v>1</v>
      </c>
      <c r="D24" s="2">
        <v>0</v>
      </c>
      <c r="E24" s="2">
        <v>0</v>
      </c>
    </row>
    <row r="25" spans="1:5" x14ac:dyDescent="0.2">
      <c r="A25" s="4"/>
      <c r="B25" s="4" t="s">
        <v>47</v>
      </c>
      <c r="C25" s="2">
        <v>1</v>
      </c>
      <c r="D25" s="2">
        <v>0</v>
      </c>
      <c r="E25" s="2">
        <v>0</v>
      </c>
    </row>
    <row r="26" spans="1:5" x14ac:dyDescent="0.2">
      <c r="A26" s="4"/>
      <c r="B26" s="2" t="s">
        <v>49</v>
      </c>
      <c r="C26" s="2">
        <v>16</v>
      </c>
      <c r="D26" s="2">
        <v>1</v>
      </c>
      <c r="E26" s="2">
        <v>0</v>
      </c>
    </row>
    <row r="27" spans="1:5" x14ac:dyDescent="0.2">
      <c r="A27" s="4"/>
      <c r="B27" s="2" t="s">
        <v>51</v>
      </c>
      <c r="C27" s="2">
        <v>16</v>
      </c>
      <c r="D27" s="2">
        <v>1</v>
      </c>
      <c r="E27" s="2">
        <v>0</v>
      </c>
    </row>
    <row r="28" spans="1:5" x14ac:dyDescent="0.2">
      <c r="A28" s="4"/>
      <c r="B28" s="2" t="s">
        <v>53</v>
      </c>
      <c r="C28" s="2">
        <v>16</v>
      </c>
      <c r="D28" s="2">
        <v>1</v>
      </c>
      <c r="E28" s="2">
        <v>0</v>
      </c>
    </row>
    <row r="29" spans="1:5" x14ac:dyDescent="0.2">
      <c r="A29" s="4"/>
      <c r="B29" s="2" t="s">
        <v>55</v>
      </c>
      <c r="C29" s="2">
        <v>16</v>
      </c>
      <c r="D29" s="2">
        <v>1</v>
      </c>
      <c r="E29" s="2">
        <v>0</v>
      </c>
    </row>
    <row r="30" spans="1:5" x14ac:dyDescent="0.2">
      <c r="A30" s="4"/>
      <c r="B30" s="2" t="s">
        <v>57</v>
      </c>
      <c r="C30" s="2">
        <v>16</v>
      </c>
      <c r="D30" s="2">
        <v>1</v>
      </c>
      <c r="E30" s="2">
        <v>0</v>
      </c>
    </row>
    <row r="31" spans="1:5" x14ac:dyDescent="0.2">
      <c r="A31" s="4"/>
      <c r="B31" s="2" t="s">
        <v>59</v>
      </c>
      <c r="C31" s="2">
        <v>16</v>
      </c>
      <c r="D31" s="2">
        <v>1</v>
      </c>
      <c r="E31" s="2">
        <v>0</v>
      </c>
    </row>
    <row r="32" spans="1:5" x14ac:dyDescent="0.2">
      <c r="A32" s="4"/>
      <c r="B32" s="2" t="s">
        <v>61</v>
      </c>
      <c r="C32" s="2">
        <v>0</v>
      </c>
      <c r="D32" s="2">
        <v>1</v>
      </c>
      <c r="E32" s="2">
        <v>0</v>
      </c>
    </row>
    <row r="33" spans="1:5" x14ac:dyDescent="0.2">
      <c r="A33" s="4"/>
      <c r="B33" s="2" t="s">
        <v>63</v>
      </c>
      <c r="C33" s="2">
        <v>0</v>
      </c>
      <c r="D33" s="2">
        <v>1</v>
      </c>
      <c r="E33" s="2">
        <v>0</v>
      </c>
    </row>
    <row r="34" spans="1:5" x14ac:dyDescent="0.2">
      <c r="B34" s="2" t="s">
        <v>65</v>
      </c>
      <c r="C34" s="2">
        <v>0</v>
      </c>
      <c r="D34" s="2">
        <v>0</v>
      </c>
      <c r="E34" s="2">
        <v>0</v>
      </c>
    </row>
    <row r="35" spans="1:5" x14ac:dyDescent="0.2">
      <c r="B35" s="2" t="s">
        <v>67</v>
      </c>
      <c r="C35" s="2">
        <v>0</v>
      </c>
      <c r="D35" s="2">
        <v>0</v>
      </c>
      <c r="E35" s="2">
        <v>0</v>
      </c>
    </row>
    <row r="36" spans="1:5" x14ac:dyDescent="0.2">
      <c r="B36" s="2" t="s">
        <v>69</v>
      </c>
      <c r="C36" s="2">
        <v>0</v>
      </c>
      <c r="D36" s="2">
        <v>0</v>
      </c>
      <c r="E36" s="2">
        <v>0</v>
      </c>
    </row>
    <row r="37" spans="1:5" x14ac:dyDescent="0.2">
      <c r="B37" s="2" t="s">
        <v>70</v>
      </c>
      <c r="C37" s="2">
        <v>0</v>
      </c>
      <c r="D37" s="2">
        <v>0</v>
      </c>
      <c r="E37" s="2">
        <v>0</v>
      </c>
    </row>
    <row r="38" spans="1:5" x14ac:dyDescent="0.2">
      <c r="B38" s="2" t="s">
        <v>71</v>
      </c>
      <c r="C38" s="2">
        <v>0</v>
      </c>
      <c r="D38" s="2">
        <v>0</v>
      </c>
      <c r="E38" s="2">
        <v>0</v>
      </c>
    </row>
    <row r="39" spans="1:5" s="9" customFormat="1" x14ac:dyDescent="0.2">
      <c r="B39" s="8" t="s">
        <v>98</v>
      </c>
      <c r="C39" s="8">
        <v>0</v>
      </c>
      <c r="D39" s="8">
        <v>0</v>
      </c>
      <c r="E39" s="8">
        <v>0</v>
      </c>
    </row>
  </sheetData>
  <phoneticPr fontId="5" type="noConversion"/>
  <pageMargins left="0.69930555555555596" right="0.69930555555555596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A8B7A-561E-44FF-B49A-16DF7D5D157D}">
  <dimension ref="A1:K8"/>
  <sheetViews>
    <sheetView tabSelected="1" workbookViewId="0">
      <selection activeCell="G8" sqref="G8"/>
    </sheetView>
  </sheetViews>
  <sheetFormatPr defaultRowHeight="14.25" x14ac:dyDescent="0.2"/>
  <cols>
    <col min="1" max="1" width="12.75" customWidth="1"/>
    <col min="2" max="2" width="10.75" customWidth="1"/>
    <col min="3" max="3" width="10.5" customWidth="1"/>
    <col min="5" max="5" width="12" customWidth="1"/>
    <col min="6" max="6" width="15.5" customWidth="1"/>
    <col min="7" max="7" width="13.875" customWidth="1"/>
    <col min="8" max="10" width="20.875" customWidth="1"/>
    <col min="11" max="11" width="17.25" customWidth="1"/>
  </cols>
  <sheetData>
    <row r="1" spans="1:11" ht="21" x14ac:dyDescent="0.2">
      <c r="A1" s="1"/>
      <c r="B1" s="6" t="s">
        <v>109</v>
      </c>
      <c r="C1" s="6" t="s">
        <v>110</v>
      </c>
      <c r="D1" s="6" t="s">
        <v>118</v>
      </c>
      <c r="E1" s="6" t="s">
        <v>114</v>
      </c>
      <c r="F1" s="6" t="s">
        <v>116</v>
      </c>
      <c r="G1" s="6" t="s">
        <v>119</v>
      </c>
      <c r="H1" s="6" t="s">
        <v>130</v>
      </c>
      <c r="I1" s="6" t="s">
        <v>122</v>
      </c>
      <c r="J1" s="6" t="s">
        <v>138</v>
      </c>
      <c r="K1" s="6" t="s">
        <v>139</v>
      </c>
    </row>
    <row r="2" spans="1:11" x14ac:dyDescent="0.2">
      <c r="A2" s="3" t="s">
        <v>6</v>
      </c>
      <c r="B2" s="4" t="s">
        <v>8</v>
      </c>
      <c r="C2" s="4" t="s">
        <v>8</v>
      </c>
      <c r="D2" s="6" t="s">
        <v>115</v>
      </c>
      <c r="E2" s="6" t="s">
        <v>115</v>
      </c>
      <c r="F2" s="6" t="s">
        <v>132</v>
      </c>
      <c r="G2" s="6" t="s">
        <v>120</v>
      </c>
      <c r="H2" s="6" t="s">
        <v>120</v>
      </c>
      <c r="I2" s="6" t="s">
        <v>132</v>
      </c>
      <c r="J2" s="4" t="s">
        <v>8</v>
      </c>
      <c r="K2" s="4" t="s">
        <v>8</v>
      </c>
    </row>
    <row r="3" spans="1:11" x14ac:dyDescent="0.2">
      <c r="A3" s="3" t="s">
        <v>10</v>
      </c>
      <c r="B3" s="4" t="s">
        <v>8</v>
      </c>
      <c r="C3" s="4" t="s">
        <v>8</v>
      </c>
      <c r="D3" s="4" t="s">
        <v>9</v>
      </c>
      <c r="E3" s="6" t="s">
        <v>115</v>
      </c>
      <c r="F3" s="6" t="s">
        <v>132</v>
      </c>
      <c r="G3" s="6" t="s">
        <v>120</v>
      </c>
      <c r="H3" s="6" t="s">
        <v>120</v>
      </c>
      <c r="I3" s="6" t="s">
        <v>132</v>
      </c>
      <c r="J3" s="4" t="s">
        <v>8</v>
      </c>
      <c r="K3" s="4" t="s">
        <v>8</v>
      </c>
    </row>
    <row r="4" spans="1:11" x14ac:dyDescent="0.2">
      <c r="A4" s="3" t="s">
        <v>11</v>
      </c>
      <c r="B4" s="6" t="s">
        <v>111</v>
      </c>
      <c r="C4" s="6" t="s">
        <v>112</v>
      </c>
      <c r="D4" s="6" t="s">
        <v>140</v>
      </c>
      <c r="E4" s="6" t="s">
        <v>113</v>
      </c>
      <c r="F4" s="10" t="s">
        <v>117</v>
      </c>
      <c r="G4" s="6" t="s">
        <v>121</v>
      </c>
      <c r="H4" s="6" t="s">
        <v>129</v>
      </c>
      <c r="I4" s="6" t="s">
        <v>131</v>
      </c>
      <c r="J4" s="6" t="s">
        <v>134</v>
      </c>
      <c r="K4" s="6" t="s">
        <v>141</v>
      </c>
    </row>
    <row r="5" spans="1:11" x14ac:dyDescent="0.2">
      <c r="A5" s="11"/>
      <c r="B5" s="12" t="s">
        <v>128</v>
      </c>
      <c r="C5" s="11" t="s">
        <v>12</v>
      </c>
      <c r="D5" s="12">
        <v>1</v>
      </c>
      <c r="E5" s="12"/>
      <c r="F5" s="11"/>
      <c r="G5" s="11"/>
      <c r="H5" s="11"/>
      <c r="I5" s="11"/>
      <c r="J5" s="13" t="s">
        <v>135</v>
      </c>
    </row>
    <row r="6" spans="1:11" x14ac:dyDescent="0.2">
      <c r="A6" s="11"/>
      <c r="B6" s="11" t="s">
        <v>123</v>
      </c>
      <c r="C6" s="11" t="s">
        <v>126</v>
      </c>
      <c r="D6" s="11"/>
      <c r="E6" s="11">
        <v>1</v>
      </c>
      <c r="F6" s="11"/>
      <c r="G6" s="11"/>
      <c r="H6" s="11"/>
      <c r="I6" s="12"/>
      <c r="J6" s="14"/>
    </row>
    <row r="7" spans="1:11" x14ac:dyDescent="0.2">
      <c r="A7" s="11"/>
      <c r="B7" s="11" t="s">
        <v>124</v>
      </c>
      <c r="C7" s="12" t="s">
        <v>127</v>
      </c>
      <c r="D7" s="11">
        <v>1</v>
      </c>
      <c r="E7" s="11"/>
      <c r="F7" s="12" t="s">
        <v>133</v>
      </c>
      <c r="G7" s="11"/>
      <c r="H7" s="11"/>
      <c r="I7" s="11"/>
      <c r="J7" s="14" t="s">
        <v>137</v>
      </c>
    </row>
    <row r="8" spans="1:11" x14ac:dyDescent="0.2">
      <c r="A8" s="11"/>
      <c r="B8" s="12" t="s">
        <v>136</v>
      </c>
      <c r="C8" s="11" t="s">
        <v>76</v>
      </c>
      <c r="D8" s="11"/>
      <c r="E8" s="11">
        <v>1</v>
      </c>
      <c r="F8" s="11"/>
      <c r="G8" s="12"/>
      <c r="H8" s="12"/>
      <c r="I8" s="11"/>
      <c r="J8" s="14"/>
    </row>
  </sheetData>
  <mergeCells count="2">
    <mergeCell ref="J5:J6"/>
    <mergeCell ref="J7:J8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attribute</vt:lpstr>
      <vt:lpstr>player_attr</vt:lpstr>
      <vt:lpstr>validate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2026-06-30T10:11:50Z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