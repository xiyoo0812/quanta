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11531FF6-4DA7-46EE-A431-55428CF94A4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1" l="1"/>
  <c r="D20" i="1"/>
  <c r="F6" i="2"/>
  <c r="F7" i="2"/>
  <c r="F8" i="2"/>
  <c r="F5" i="2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<sst xmlns="http://schemas.openxmlformats.org/spreadsheetml/2006/main" count="182" uniqueCount="96">
  <si>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</si>
  <si>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</si>
  <si>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</si>
  <si>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</si>
  <si>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</si>
  <si>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</si>
  <si>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</si>
  <si>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</si>
  <si>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</si>
  <si>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</si>
  <si>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</si>
  <si>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</si>
  <si>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</si>
  <si>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</si>
  <si>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</si>
  <si>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</si>
  <si>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</si>
  <si>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</si>
  <si>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</si>
  <si>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</si>
  <si>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</si>
  <si>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</si>
  <si>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</si>
  <si>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</si>
  <si>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</si>
  <si>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</si>
  <si>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</si>
  <si>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</si>
  <si>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</si>
  <si>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</si>
  <si>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</si>
  <si>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</si>
  <si>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</si>
  <si>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</si>
  <si>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</si>
  <si>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</si>
  <si>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</si>
  <si>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ATTR_JEWEL</t>
  </si>
  <si>
    <t>绑定钻石（绑定货币）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</si>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</sst>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7"/>
  <sheetViews>
    <sheetView zoomScale="115" zoomScaleNormal="115" workbookViewId="0">
      <pane xSplit="2" topLeftCell="C1" activePane="topRight" state="frozen"/>
      <selection pane="topRight" activeCell="C20" sqref="C20:D20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87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88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89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2" si="0">LOWER(SUBSTITUTE(C6,"ATTR_",""))</f>
        <v>mp</v>
      </c>
      <c r="E6" s="6" t="s">
        <v>89</v>
      </c>
      <c r="F6" s="2">
        <v>1</v>
      </c>
      <c r="G6" s="2" t="s">
        <v>20</v>
      </c>
    </row>
    <row r="7" spans="1:7" x14ac:dyDescent="0.2">
      <c r="B7" s="4">
        <v>3</v>
      </c>
      <c r="C7" s="2" t="s">
        <v>21</v>
      </c>
      <c r="D7" s="2" t="str">
        <f t="shared" si="0"/>
        <v>stanima</v>
      </c>
      <c r="E7" s="6" t="s">
        <v>89</v>
      </c>
      <c r="F7" s="2">
        <v>1</v>
      </c>
      <c r="G7" s="2" t="s">
        <v>22</v>
      </c>
    </row>
    <row r="8" spans="1:7" x14ac:dyDescent="0.2">
      <c r="B8" s="4">
        <v>4</v>
      </c>
      <c r="C8" s="2" t="s">
        <v>23</v>
      </c>
      <c r="D8" s="2" t="str">
        <f t="shared" si="0"/>
        <v>exp</v>
      </c>
      <c r="E8" s="6" t="s">
        <v>89</v>
      </c>
      <c r="F8" s="2">
        <v>1</v>
      </c>
      <c r="G8" s="2" t="s">
        <v>24</v>
      </c>
    </row>
    <row r="9" spans="1:7" x14ac:dyDescent="0.2">
      <c r="B9" s="4">
        <v>5</v>
      </c>
      <c r="C9" s="2" t="s">
        <v>25</v>
      </c>
      <c r="D9" s="2" t="str">
        <f t="shared" si="0"/>
        <v>hp_max</v>
      </c>
      <c r="E9" s="6" t="s">
        <v>89</v>
      </c>
      <c r="F9" s="2">
        <v>1</v>
      </c>
      <c r="G9" s="2" t="s">
        <v>26</v>
      </c>
    </row>
    <row r="10" spans="1:7" x14ac:dyDescent="0.2">
      <c r="B10" s="4">
        <v>6</v>
      </c>
      <c r="C10" s="2" t="s">
        <v>27</v>
      </c>
      <c r="D10" s="2" t="str">
        <f t="shared" si="0"/>
        <v>mp_max</v>
      </c>
      <c r="E10" s="6" t="s">
        <v>89</v>
      </c>
      <c r="F10" s="2">
        <v>1</v>
      </c>
      <c r="G10" s="2" t="s">
        <v>28</v>
      </c>
    </row>
    <row r="11" spans="1:7" x14ac:dyDescent="0.2">
      <c r="B11" s="4">
        <v>7</v>
      </c>
      <c r="C11" s="2" t="s">
        <v>29</v>
      </c>
      <c r="D11" s="2" t="str">
        <f t="shared" si="0"/>
        <v>stanima_max</v>
      </c>
      <c r="E11" s="6" t="s">
        <v>89</v>
      </c>
      <c r="F11" s="2">
        <v>1</v>
      </c>
      <c r="G11" s="2" t="s">
        <v>30</v>
      </c>
    </row>
    <row r="12" spans="1:7" x14ac:dyDescent="0.2">
      <c r="B12" s="4">
        <v>8</v>
      </c>
      <c r="C12" s="2" t="s">
        <v>31</v>
      </c>
      <c r="D12" s="2" t="str">
        <f t="shared" si="0"/>
        <v>exp_max</v>
      </c>
      <c r="E12" s="6" t="s">
        <v>89</v>
      </c>
      <c r="F12" s="2">
        <v>1</v>
      </c>
      <c r="G12" s="2" t="s">
        <v>32</v>
      </c>
    </row>
    <row r="13" spans="1:7" x14ac:dyDescent="0.2">
      <c r="B13" s="4">
        <v>9</v>
      </c>
      <c r="C13" s="2" t="s">
        <v>33</v>
      </c>
      <c r="D13" s="2" t="str">
        <f t="shared" si="0"/>
        <v>level</v>
      </c>
      <c r="E13" s="6" t="s">
        <v>89</v>
      </c>
      <c r="F13" s="2">
        <v>0</v>
      </c>
      <c r="G13" s="2" t="s">
        <v>34</v>
      </c>
    </row>
    <row r="14" spans="1:7" x14ac:dyDescent="0.2">
      <c r="B14" s="4">
        <v>10</v>
      </c>
      <c r="C14" s="2" t="s">
        <v>35</v>
      </c>
      <c r="D14" s="2" t="str">
        <f t="shared" ref="D14:D15" si="1">LOWER(SUBSTITUTE(C14,"ATTR_",""))</f>
        <v>coin</v>
      </c>
      <c r="E14" s="6" t="s">
        <v>89</v>
      </c>
      <c r="F14" s="2">
        <v>1</v>
      </c>
      <c r="G14" s="2" t="s">
        <v>36</v>
      </c>
    </row>
    <row r="15" spans="1:7" x14ac:dyDescent="0.2">
      <c r="B15" s="4">
        <v>11</v>
      </c>
      <c r="C15" s="2" t="s">
        <v>37</v>
      </c>
      <c r="D15" s="2" t="str">
        <f t="shared" si="1"/>
        <v>jewel</v>
      </c>
      <c r="E15" s="6" t="s">
        <v>89</v>
      </c>
      <c r="F15" s="2">
        <v>1</v>
      </c>
      <c r="G15" s="2" t="s">
        <v>38</v>
      </c>
    </row>
    <row r="16" spans="1:7" x14ac:dyDescent="0.2">
      <c r="B16" s="4">
        <v>12</v>
      </c>
      <c r="C16" s="2" t="s">
        <v>39</v>
      </c>
      <c r="D16" s="2" t="str">
        <f t="shared" si="0"/>
        <v>diamond</v>
      </c>
      <c r="E16" s="6" t="s">
        <v>89</v>
      </c>
      <c r="F16" s="2">
        <v>1</v>
      </c>
      <c r="G16" s="2" t="s">
        <v>40</v>
      </c>
    </row>
    <row r="17" spans="2:8" x14ac:dyDescent="0.2">
      <c r="B17" s="4">
        <v>13</v>
      </c>
      <c r="C17" s="5" t="s">
        <v>41</v>
      </c>
      <c r="D17" s="5" t="str">
        <f t="shared" si="0"/>
        <v>proto_id</v>
      </c>
      <c r="E17" s="6" t="s">
        <v>89</v>
      </c>
      <c r="F17" s="5">
        <v>0</v>
      </c>
      <c r="G17" s="2" t="s">
        <v>42</v>
      </c>
    </row>
    <row r="18" spans="2:8" x14ac:dyDescent="0.2">
      <c r="B18" s="4">
        <v>14</v>
      </c>
      <c r="C18" s="2" t="s">
        <v>43</v>
      </c>
      <c r="D18" s="2" t="str">
        <f>LOWER(SUBSTITUTE(C18,"ATTR_",""))</f>
        <v>lucky</v>
      </c>
      <c r="E18" s="6" t="s">
        <v>89</v>
      </c>
      <c r="F18" s="2">
        <v>1</v>
      </c>
      <c r="G18" s="2" t="s">
        <v>44</v>
      </c>
    </row>
    <row r="19" spans="2:8" x14ac:dyDescent="0.2">
      <c r="B19" s="4">
        <v>15</v>
      </c>
      <c r="C19" s="5" t="s">
        <v>91</v>
      </c>
      <c r="D19" s="5" t="str">
        <f t="shared" si="0"/>
        <v>gender</v>
      </c>
      <c r="E19" s="6" t="s">
        <v>89</v>
      </c>
      <c r="F19" s="5">
        <v>0</v>
      </c>
      <c r="G19" s="6" t="s">
        <v>93</v>
      </c>
    </row>
    <row r="20" spans="2:8" x14ac:dyDescent="0.2">
      <c r="B20" s="4">
        <v>16</v>
      </c>
      <c r="C20" s="5" t="s">
        <v>90</v>
      </c>
      <c r="D20" s="2" t="str">
        <f>LOWER(SUBSTITUTE(C20,"ATTR_",""))</f>
        <v>custom</v>
      </c>
      <c r="E20" s="6" t="s">
        <v>92</v>
      </c>
      <c r="F20" s="5">
        <v>0</v>
      </c>
      <c r="G20" s="6" t="s">
        <v>94</v>
      </c>
    </row>
    <row r="21" spans="2:8" x14ac:dyDescent="0.2">
      <c r="B21" s="4">
        <v>21</v>
      </c>
      <c r="C21" s="2" t="s">
        <v>45</v>
      </c>
      <c r="D21" s="2" t="str">
        <f t="shared" si="0"/>
        <v>attack</v>
      </c>
      <c r="E21" s="6" t="s">
        <v>89</v>
      </c>
      <c r="F21" s="2">
        <v>1</v>
      </c>
      <c r="G21" s="2" t="s">
        <v>46</v>
      </c>
    </row>
    <row r="22" spans="2:8" x14ac:dyDescent="0.2">
      <c r="B22" s="4">
        <v>22</v>
      </c>
      <c r="C22" s="2" t="s">
        <v>47</v>
      </c>
      <c r="D22" s="2" t="str">
        <f t="shared" si="0"/>
        <v>defence</v>
      </c>
      <c r="E22" s="6" t="s">
        <v>89</v>
      </c>
      <c r="F22" s="2">
        <v>1</v>
      </c>
      <c r="G22" s="4" t="s">
        <v>48</v>
      </c>
    </row>
    <row r="23" spans="2:8" x14ac:dyDescent="0.2">
      <c r="B23" s="4">
        <v>23</v>
      </c>
      <c r="C23" s="4" t="s">
        <v>49</v>
      </c>
      <c r="D23" s="4" t="str">
        <f t="shared" si="0"/>
        <v>critical_rate</v>
      </c>
      <c r="E23" s="6" t="s">
        <v>89</v>
      </c>
      <c r="F23" s="4">
        <v>1</v>
      </c>
      <c r="G23" s="4" t="s">
        <v>50</v>
      </c>
      <c r="H23" s="2"/>
    </row>
    <row r="24" spans="2:8" x14ac:dyDescent="0.2">
      <c r="B24" s="4">
        <v>24</v>
      </c>
      <c r="C24" s="4" t="s">
        <v>51</v>
      </c>
      <c r="D24" s="4" t="str">
        <f t="shared" si="0"/>
        <v>critical_hurt</v>
      </c>
      <c r="E24" s="6" t="s">
        <v>89</v>
      </c>
      <c r="F24" s="4">
        <v>1</v>
      </c>
      <c r="G24" s="4" t="s">
        <v>52</v>
      </c>
    </row>
    <row r="25" spans="2:8" x14ac:dyDescent="0.2">
      <c r="B25" s="4">
        <v>51</v>
      </c>
      <c r="C25" s="2" t="s">
        <v>53</v>
      </c>
      <c r="D25" s="2" t="str">
        <f t="shared" si="0"/>
        <v>head</v>
      </c>
      <c r="E25" s="6" t="s">
        <v>89</v>
      </c>
      <c r="F25" s="2">
        <v>0</v>
      </c>
      <c r="G25" s="2" t="s">
        <v>54</v>
      </c>
    </row>
    <row r="26" spans="2:8" x14ac:dyDescent="0.2">
      <c r="B26" s="4">
        <v>52</v>
      </c>
      <c r="C26" s="2" t="s">
        <v>55</v>
      </c>
      <c r="D26" s="2" t="str">
        <f t="shared" si="0"/>
        <v>face</v>
      </c>
      <c r="E26" s="6" t="s">
        <v>89</v>
      </c>
      <c r="F26" s="2">
        <v>0</v>
      </c>
      <c r="G26" s="2" t="s">
        <v>56</v>
      </c>
    </row>
    <row r="27" spans="2:8" x14ac:dyDescent="0.2">
      <c r="B27" s="4">
        <v>53</v>
      </c>
      <c r="C27" s="2" t="s">
        <v>57</v>
      </c>
      <c r="D27" s="2" t="str">
        <f t="shared" si="0"/>
        <v>cloth</v>
      </c>
      <c r="E27" s="6" t="s">
        <v>89</v>
      </c>
      <c r="F27" s="2">
        <v>0</v>
      </c>
      <c r="G27" s="2" t="s">
        <v>58</v>
      </c>
    </row>
    <row r="28" spans="2:8" x14ac:dyDescent="0.2">
      <c r="B28" s="4">
        <v>54</v>
      </c>
      <c r="C28" s="2" t="s">
        <v>59</v>
      </c>
      <c r="D28" s="2" t="str">
        <f t="shared" si="0"/>
        <v>trousers</v>
      </c>
      <c r="E28" s="6" t="s">
        <v>89</v>
      </c>
      <c r="F28" s="2">
        <v>0</v>
      </c>
      <c r="G28" s="2" t="s">
        <v>60</v>
      </c>
    </row>
    <row r="29" spans="2:8" x14ac:dyDescent="0.2">
      <c r="B29" s="4">
        <v>55</v>
      </c>
      <c r="C29" s="2" t="s">
        <v>61</v>
      </c>
      <c r="D29" s="2" t="str">
        <f t="shared" si="0"/>
        <v>shoes</v>
      </c>
      <c r="E29" s="6" t="s">
        <v>89</v>
      </c>
      <c r="F29" s="2">
        <v>0</v>
      </c>
      <c r="G29" s="2" t="s">
        <v>62</v>
      </c>
    </row>
    <row r="30" spans="2:8" x14ac:dyDescent="0.2">
      <c r="B30" s="4">
        <v>56</v>
      </c>
      <c r="C30" s="2" t="s">
        <v>63</v>
      </c>
      <c r="D30" s="2" t="str">
        <f t="shared" si="0"/>
        <v>weapon</v>
      </c>
      <c r="E30" s="6" t="s">
        <v>89</v>
      </c>
      <c r="F30" s="2">
        <v>0</v>
      </c>
      <c r="G30" s="2" t="s">
        <v>64</v>
      </c>
    </row>
    <row r="31" spans="2:8" x14ac:dyDescent="0.2">
      <c r="B31" s="4">
        <v>57</v>
      </c>
      <c r="C31" s="2" t="s">
        <v>65</v>
      </c>
      <c r="D31" s="2" t="str">
        <f t="shared" si="0"/>
        <v>neck</v>
      </c>
      <c r="E31" s="6" t="s">
        <v>89</v>
      </c>
      <c r="F31" s="2">
        <v>0</v>
      </c>
      <c r="G31" s="2" t="s">
        <v>66</v>
      </c>
    </row>
    <row r="32" spans="2:8" x14ac:dyDescent="0.2">
      <c r="B32" s="4">
        <v>58</v>
      </c>
      <c r="C32" s="2" t="s">
        <v>67</v>
      </c>
      <c r="D32" s="2" t="str">
        <f t="shared" si="0"/>
        <v>ring</v>
      </c>
      <c r="E32" s="6" t="s">
        <v>89</v>
      </c>
      <c r="F32" s="2">
        <v>0</v>
      </c>
      <c r="G32" s="2" t="s">
        <v>68</v>
      </c>
    </row>
    <row r="33" spans="2:7" x14ac:dyDescent="0.2">
      <c r="B33" s="4">
        <v>101</v>
      </c>
      <c r="C33" s="2" t="s">
        <v>69</v>
      </c>
      <c r="D33" s="2" t="str">
        <f>LOWER(SUBSTITUTE(C33,"ATTR_",""))</f>
        <v>map_id</v>
      </c>
      <c r="E33" s="6" t="s">
        <v>89</v>
      </c>
      <c r="F33" s="2">
        <v>0</v>
      </c>
      <c r="G33" s="2" t="s">
        <v>70</v>
      </c>
    </row>
    <row r="34" spans="2:7" x14ac:dyDescent="0.2">
      <c r="B34" s="4">
        <v>102</v>
      </c>
      <c r="C34" s="2" t="s">
        <v>71</v>
      </c>
      <c r="D34" s="2" t="str">
        <f>LOWER(SUBSTITUTE(C34,"ATTR_",""))</f>
        <v>pos_x</v>
      </c>
      <c r="E34" s="6" t="s">
        <v>89</v>
      </c>
      <c r="F34" s="2">
        <v>0</v>
      </c>
      <c r="G34" s="2" t="s">
        <v>72</v>
      </c>
    </row>
    <row r="35" spans="2:7" x14ac:dyDescent="0.2">
      <c r="B35" s="4">
        <v>103</v>
      </c>
      <c r="C35" s="2" t="s">
        <v>73</v>
      </c>
      <c r="D35" s="2" t="str">
        <f>LOWER(SUBSTITUTE(C35,"ATTR_",""))</f>
        <v>pos_y</v>
      </c>
      <c r="E35" s="6" t="s">
        <v>89</v>
      </c>
      <c r="F35" s="2">
        <v>0</v>
      </c>
      <c r="G35" s="2" t="s">
        <v>72</v>
      </c>
    </row>
    <row r="36" spans="2:7" x14ac:dyDescent="0.2">
      <c r="B36" s="4">
        <v>104</v>
      </c>
      <c r="C36" s="2" t="s">
        <v>74</v>
      </c>
      <c r="D36" s="2" t="str">
        <f>LOWER(SUBSTITUTE(C36,"ATTR_",""))</f>
        <v>pos_z</v>
      </c>
      <c r="E36" s="6" t="s">
        <v>89</v>
      </c>
      <c r="F36" s="2">
        <v>0</v>
      </c>
      <c r="G36" s="2" t="s">
        <v>72</v>
      </c>
    </row>
    <row r="37" spans="2:7" x14ac:dyDescent="0.2">
      <c r="B37" s="4">
        <v>105</v>
      </c>
      <c r="C37" s="2" t="s">
        <v>75</v>
      </c>
      <c r="D37" s="2" t="str">
        <f>LOWER(SUBSTITUTE(C37,"ATTR_",""))</f>
        <v>line</v>
      </c>
      <c r="E37" s="6" t="s">
        <v>89</v>
      </c>
      <c r="F37" s="2">
        <v>0</v>
      </c>
      <c r="G37" s="4" t="s">
        <v>76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6"/>
  <sheetViews>
    <sheetView tabSelected="1" workbookViewId="0">
      <selection activeCell="H19" sqref="H19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11" ht="21" x14ac:dyDescent="0.2">
      <c r="A1" s="1" t="s">
        <v>0</v>
      </c>
      <c r="B1" s="2" t="s">
        <v>2</v>
      </c>
      <c r="C1" s="2" t="s">
        <v>77</v>
      </c>
      <c r="D1" s="2" t="s">
        <v>78</v>
      </c>
      <c r="E1" s="2" t="s">
        <v>79</v>
      </c>
      <c r="F1" s="2" t="s">
        <v>80</v>
      </c>
    </row>
    <row r="2" spans="1:11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86</v>
      </c>
    </row>
    <row r="3" spans="1:11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86</v>
      </c>
    </row>
    <row r="4" spans="1:11" x14ac:dyDescent="0.2">
      <c r="A4" s="3" t="s">
        <v>11</v>
      </c>
      <c r="B4" s="2" t="s">
        <v>81</v>
      </c>
      <c r="C4" s="2" t="s">
        <v>82</v>
      </c>
      <c r="D4" s="2" t="s">
        <v>83</v>
      </c>
      <c r="E4" s="2" t="s">
        <v>84</v>
      </c>
      <c r="F4" s="2" t="s">
        <v>85</v>
      </c>
    </row>
    <row r="5" spans="1:11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11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11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11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11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11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11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11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11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  <c r="J13" s="7"/>
      <c r="K13" s="2"/>
    </row>
    <row r="14" spans="1:11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11" x14ac:dyDescent="0.2">
      <c r="A15" s="4"/>
      <c r="B15" s="2" t="s">
        <v>37</v>
      </c>
      <c r="C15" s="2">
        <v>1</v>
      </c>
      <c r="D15" s="2">
        <v>1</v>
      </c>
      <c r="E15" s="2">
        <v>0</v>
      </c>
      <c r="F15" s="2"/>
    </row>
    <row r="16" spans="1:11" x14ac:dyDescent="0.2">
      <c r="A16" s="4"/>
      <c r="B16" s="2" t="s">
        <v>39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43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95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90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2" t="s">
        <v>45</v>
      </c>
      <c r="C20" s="2">
        <v>1</v>
      </c>
      <c r="D20" s="2">
        <v>0</v>
      </c>
      <c r="E20" s="2">
        <v>0</v>
      </c>
      <c r="F20" s="2"/>
    </row>
    <row r="21" spans="1:6" x14ac:dyDescent="0.2">
      <c r="A21" s="4"/>
      <c r="B21" s="2" t="s">
        <v>47</v>
      </c>
      <c r="C21" s="2">
        <v>1</v>
      </c>
      <c r="D21" s="2">
        <v>0</v>
      </c>
      <c r="E21" s="2">
        <v>0</v>
      </c>
      <c r="F21" s="2"/>
    </row>
    <row r="22" spans="1:6" x14ac:dyDescent="0.2">
      <c r="A22" s="4"/>
      <c r="B22" s="4" t="s">
        <v>49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4" t="s">
        <v>51</v>
      </c>
      <c r="C23" s="2">
        <v>1</v>
      </c>
      <c r="D23" s="2">
        <v>0</v>
      </c>
      <c r="E23" s="2">
        <v>0</v>
      </c>
      <c r="F23" s="4"/>
    </row>
    <row r="24" spans="1:6" x14ac:dyDescent="0.2">
      <c r="A24" s="4"/>
      <c r="B24" s="2" t="s">
        <v>53</v>
      </c>
      <c r="C24" s="2">
        <v>16</v>
      </c>
      <c r="D24" s="2">
        <v>1</v>
      </c>
      <c r="E24" s="2">
        <v>0</v>
      </c>
      <c r="F24" s="4"/>
    </row>
    <row r="25" spans="1:6" x14ac:dyDescent="0.2">
      <c r="A25" s="4"/>
      <c r="B25" s="2" t="s">
        <v>55</v>
      </c>
      <c r="C25" s="2">
        <v>16</v>
      </c>
      <c r="D25" s="2">
        <v>1</v>
      </c>
      <c r="E25" s="2">
        <v>0</v>
      </c>
      <c r="F25" s="2"/>
    </row>
    <row r="26" spans="1:6" x14ac:dyDescent="0.2">
      <c r="A26" s="4"/>
      <c r="B26" s="2" t="s">
        <v>57</v>
      </c>
      <c r="C26" s="2">
        <v>16</v>
      </c>
      <c r="D26" s="2">
        <v>1</v>
      </c>
      <c r="E26" s="2">
        <v>0</v>
      </c>
      <c r="F26" s="2"/>
    </row>
    <row r="27" spans="1:6" x14ac:dyDescent="0.2">
      <c r="A27" s="4"/>
      <c r="B27" s="2" t="s">
        <v>59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61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63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65</v>
      </c>
      <c r="C30" s="2">
        <v>0</v>
      </c>
      <c r="D30" s="2">
        <v>0</v>
      </c>
      <c r="E30" s="2">
        <v>0</v>
      </c>
      <c r="F30" s="2"/>
    </row>
    <row r="31" spans="1:6" x14ac:dyDescent="0.2">
      <c r="A31" s="4"/>
      <c r="B31" s="2" t="s">
        <v>67</v>
      </c>
      <c r="C31" s="2">
        <v>0</v>
      </c>
      <c r="D31" s="2">
        <v>0</v>
      </c>
      <c r="E31" s="2">
        <v>0</v>
      </c>
      <c r="F31" s="2"/>
    </row>
    <row r="32" spans="1:6" x14ac:dyDescent="0.2">
      <c r="B32" s="2" t="s">
        <v>69</v>
      </c>
      <c r="C32" s="2">
        <v>0</v>
      </c>
      <c r="D32" s="2">
        <v>1</v>
      </c>
      <c r="E32" s="2">
        <v>0</v>
      </c>
      <c r="F32" s="4"/>
    </row>
    <row r="33" spans="2:6" x14ac:dyDescent="0.2">
      <c r="B33" s="2" t="s">
        <v>71</v>
      </c>
      <c r="C33" s="2">
        <v>0</v>
      </c>
      <c r="D33" s="2">
        <v>1</v>
      </c>
      <c r="E33" s="2">
        <v>0</v>
      </c>
      <c r="F33" s="2"/>
    </row>
    <row r="34" spans="2:6" x14ac:dyDescent="0.2">
      <c r="B34" s="2" t="s">
        <v>73</v>
      </c>
      <c r="C34" s="2">
        <v>0</v>
      </c>
      <c r="D34" s="2">
        <v>1</v>
      </c>
      <c r="E34" s="2">
        <v>0</v>
      </c>
      <c r="F34" s="2"/>
    </row>
    <row r="35" spans="2:6" x14ac:dyDescent="0.2">
      <c r="B35" s="2" t="s">
        <v>74</v>
      </c>
      <c r="C35" s="2">
        <v>0</v>
      </c>
      <c r="D35" s="2">
        <v>1</v>
      </c>
      <c r="E35" s="2">
        <v>0</v>
      </c>
      <c r="F35" s="2"/>
    </row>
    <row r="36" spans="2:6" x14ac:dyDescent="0.2">
      <c r="B36" s="2" t="s">
        <v>75</v>
      </c>
      <c r="C36" s="2">
        <v>0</v>
      </c>
      <c r="D36" s="2">
        <v>1</v>
      </c>
      <c r="E36" s="2">
        <v>0</v>
      </c>
      <c r="F36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2022-12-09T02:43:02Z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