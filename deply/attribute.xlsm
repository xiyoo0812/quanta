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AFFD249F-89B0-4D10-88ED-41D826566B6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ttribute" sheetId="1" r:id="rId1"/>
    <sheet name="player_att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20" i="1"/>
  <c r="F6" i="2"/>
  <c r="F7" i="2"/>
  <c r="F8" i="2"/>
  <c r="F5" i="2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<sst xmlns="http://schemas.openxmlformats.org/spreadsheetml/2006/main" count="186" uniqueCount="98">
  <si>
    <t>属性表</t>
  </si>
  <si>
    <t>属性ID</t>
  </si>
  <si>
    <t>属性name</t>
  </si>
  <si>
    <t>属性nick</t>
  </si>
  <si>
    <t>增量接口</t>
  </si>
  <si>
    <t>备注</t>
  </si>
  <si>
    <t>Server</t>
  </si>
  <si>
    <t>int</t>
  </si>
  <si>
    <t>string</t>
  </si>
  <si>
    <t>bool</t>
  </si>
  <si>
    <t>Client</t>
  </si>
  <si>
    <t>VariableName</t>
  </si>
  <si>
    <t>id</t>
  </si>
  <si>
    <t>enum_key</t>
  </si>
  <si>
    <t>nick</t>
  </si>
  <si>
    <t>increase</t>
  </si>
  <si>
    <t>Start</t>
  </si>
  <si>
    <t>ATTR_HP</t>
  </si>
  <si>
    <t>生命</t>
  </si>
  <si>
    <t>ATTR_MP</t>
  </si>
  <si>
    <t>法力</t>
  </si>
  <si>
    <t>ATTR_STANIMA</t>
  </si>
  <si>
    <t>耐力</t>
  </si>
  <si>
    <t>ATTR_EXP</t>
  </si>
  <si>
    <t>经验</t>
  </si>
  <si>
    <t>ATTR_HP_MAX</t>
  </si>
  <si>
    <t>生命上限</t>
  </si>
  <si>
    <t>ATTR_MP_MAX</t>
  </si>
  <si>
    <t>法力上限</t>
  </si>
  <si>
    <t>ATTR_STANIMA_MAX</t>
  </si>
  <si>
    <t>耐力上限</t>
  </si>
  <si>
    <t>ATTR_EXP_MAX</t>
  </si>
  <si>
    <t>经验上限</t>
  </si>
  <si>
    <t>ATTR_LEVEL</t>
  </si>
  <si>
    <t>等级</t>
  </si>
  <si>
    <t>ATTR_COIN</t>
  </si>
  <si>
    <t>金币（游戏货币）</t>
  </si>
  <si>
    <t>ATTR_DIAMOND</t>
  </si>
  <si>
    <t>钻石（充值货币）</t>
  </si>
  <si>
    <t>ATTR_PROTO_ID</t>
  </si>
  <si>
    <t>原型ID</t>
  </si>
  <si>
    <t>ATTR_LUCKY</t>
  </si>
  <si>
    <t>幸运值</t>
  </si>
  <si>
    <t>ATTR_ATTACK</t>
  </si>
  <si>
    <t>攻击力</t>
  </si>
  <si>
    <t>ATTR_DEFENCE</t>
  </si>
  <si>
    <t>防御力</t>
  </si>
  <si>
    <t>ATTR_CRITICAL_RATE</t>
  </si>
  <si>
    <t>暴击率</t>
  </si>
  <si>
    <t>ATTR_CRITICAL_HURT</t>
  </si>
  <si>
    <t>暴击伤害倍率</t>
  </si>
  <si>
    <t>ATTR_HEAD</t>
  </si>
  <si>
    <t>头饰（仅为ID，展示外观）</t>
  </si>
  <si>
    <t>ATTR_FACE</t>
  </si>
  <si>
    <t>面饰（仅为ID，展示外观）</t>
  </si>
  <si>
    <t>ATTR_CLOTH</t>
  </si>
  <si>
    <t>衣服（仅为ID，展示外观）</t>
  </si>
  <si>
    <t>ATTR_TROUSERS</t>
  </si>
  <si>
    <t>裤子（仅为ID，展示外观）</t>
  </si>
  <si>
    <t>ATTR_SHOES</t>
  </si>
  <si>
    <t>鞋子（仅为ID，展示外观）</t>
  </si>
  <si>
    <t>ATTR_WEAPON</t>
  </si>
  <si>
    <t>手持武器（仅为ID，展示外观）</t>
  </si>
  <si>
    <t>ATTR_NECK</t>
  </si>
  <si>
    <t>项链（仅为ID，展示外观，暂不下发）</t>
  </si>
  <si>
    <t>ATTR_RING</t>
  </si>
  <si>
    <t>戒指（仅为ID，展示外观，暂不下发）</t>
  </si>
  <si>
    <t>ATTR_MAP_ID</t>
  </si>
  <si>
    <t>地图id</t>
  </si>
  <si>
    <t>ATTR_POS_X</t>
  </si>
  <si>
    <t>位置</t>
  </si>
  <si>
    <t>ATTR_POS_Y</t>
  </si>
  <si>
    <t>ATTR_POS_Z</t>
  </si>
  <si>
    <t>ATTR_LINE</t>
  </si>
  <si>
    <t>线信息</t>
  </si>
  <si>
    <t>属性range</t>
  </si>
  <si>
    <t>属性持久化</t>
  </si>
  <si>
    <t>是否回写</t>
  </si>
  <si>
    <t>限制属性</t>
  </si>
  <si>
    <t>key</t>
  </si>
  <si>
    <t>range</t>
  </si>
  <si>
    <t>save</t>
  </si>
  <si>
    <t>back</t>
  </si>
  <si>
    <t>limit</t>
  </si>
  <si>
    <t>string</t>
    <phoneticPr fontId="5" type="noConversion"/>
  </si>
  <si>
    <t>属性类型</t>
    <phoneticPr fontId="5" type="noConversion"/>
  </si>
  <si>
    <t>type</t>
    <phoneticPr fontId="5" type="noConversion"/>
  </si>
  <si>
    <t>int</t>
    <phoneticPr fontId="5" type="noConversion"/>
  </si>
  <si>
    <t>ATTR_CUSTOM</t>
  </si>
  <si>
    <t>ATTR_GENDER</t>
  </si>
  <si>
    <t>bytes</t>
    <phoneticPr fontId="5" type="noConversion"/>
  </si>
  <si>
    <t>性别</t>
    <phoneticPr fontId="5" type="noConversion"/>
  </si>
  <si>
    <t>自定义外观</t>
    <phoneticPr fontId="5" type="noConversion"/>
  </si>
  <si>
    <t>ATTR_GENDER</t>
    <phoneticPr fontId="5" type="noConversion"/>
  </si>
  <si>
    <t>ATTR_VERSION</t>
    <phoneticPr fontId="5" type="noConversion"/>
  </si>
  <si>
    <t>日期版本</t>
    <phoneticPr fontId="5" type="noConversion"/>
  </si>
  <si>
    <t>ATTR_NAME</t>
    <phoneticPr fontId="5" type="noConversion"/>
  </si>
  <si>
    <t>名称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</si>
</sst>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charset val="134"/>
      <scheme val="minor"/>
    </font>
    <font>
      <b/>
      <sz val="14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theme="1"/>
      <name val="微软雅黑"/>
      <charset val="134"/>
    </font>
    <font>
      <sz val="9"/>
      <color theme="1"/>
      <name val="微软雅黑"/>
      <charset val="134"/>
    </font>
    <font>
      <sz val="9"/>
      <name val="等线"/>
      <charset val="134"/>
      <scheme val="minor"/>
    </font>
    <font>
      <sz val="9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8"/>
  <sheetViews>
    <sheetView zoomScale="115" zoomScaleNormal="115" workbookViewId="0">
      <pane xSplit="2" topLeftCell="C1" activePane="topRight" state="frozen"/>
      <selection pane="topRight" activeCell="G16" sqref="G16"/>
    </sheetView>
  </sheetViews>
  <sheetFormatPr defaultColWidth="9" defaultRowHeight="14.25" x14ac:dyDescent="0.2"/>
  <cols>
    <col min="1" max="1" width="13.5" style="4" customWidth="1"/>
    <col min="2" max="2" width="15.625" style="4" customWidth="1"/>
    <col min="3" max="6" width="15.875" style="4" customWidth="1"/>
    <col min="7" max="7" width="31.75" style="4" customWidth="1"/>
    <col min="8" max="16384" width="9" style="4"/>
  </cols>
  <sheetData>
    <row r="1" spans="1:7" ht="21" x14ac:dyDescent="0.2">
      <c r="A1" s="1" t="s">
        <v>0</v>
      </c>
      <c r="B1" s="2" t="s">
        <v>1</v>
      </c>
      <c r="C1" s="2" t="s">
        <v>2</v>
      </c>
      <c r="D1" s="2" t="s">
        <v>3</v>
      </c>
      <c r="E1" s="6" t="s">
        <v>85</v>
      </c>
      <c r="F1" s="2" t="s">
        <v>4</v>
      </c>
      <c r="G1" s="2" t="s">
        <v>5</v>
      </c>
    </row>
    <row r="2" spans="1:7" x14ac:dyDescent="0.2">
      <c r="A2" s="3" t="s">
        <v>6</v>
      </c>
      <c r="B2" s="4" t="s">
        <v>7</v>
      </c>
      <c r="C2" s="4" t="s">
        <v>8</v>
      </c>
      <c r="D2" s="4" t="s">
        <v>8</v>
      </c>
      <c r="E2" s="4" t="s">
        <v>8</v>
      </c>
      <c r="F2" s="4" t="s">
        <v>9</v>
      </c>
    </row>
    <row r="3" spans="1:7" x14ac:dyDescent="0.2">
      <c r="A3" s="3" t="s">
        <v>10</v>
      </c>
      <c r="B3" s="4" t="s">
        <v>7</v>
      </c>
      <c r="C3" s="4" t="s">
        <v>8</v>
      </c>
      <c r="D3" s="4" t="s">
        <v>8</v>
      </c>
      <c r="E3" s="4" t="s">
        <v>8</v>
      </c>
      <c r="F3" s="4" t="s">
        <v>9</v>
      </c>
    </row>
    <row r="4" spans="1:7" x14ac:dyDescent="0.2">
      <c r="A4" s="3" t="s">
        <v>11</v>
      </c>
      <c r="B4" s="2" t="s">
        <v>12</v>
      </c>
      <c r="C4" s="2" t="s">
        <v>13</v>
      </c>
      <c r="D4" s="2" t="s">
        <v>14</v>
      </c>
      <c r="E4" s="6" t="s">
        <v>86</v>
      </c>
      <c r="F4" s="2" t="s">
        <v>15</v>
      </c>
    </row>
    <row r="5" spans="1:7" x14ac:dyDescent="0.2">
      <c r="A5" s="3" t="s">
        <v>16</v>
      </c>
      <c r="B5" s="4">
        <v>1</v>
      </c>
      <c r="C5" s="2" t="s">
        <v>17</v>
      </c>
      <c r="D5" s="2" t="str">
        <f>LOWER(SUBSTITUTE(C5,"ATTR_",""))</f>
        <v>hp</v>
      </c>
      <c r="E5" s="6" t="s">
        <v>87</v>
      </c>
      <c r="F5" s="2">
        <v>1</v>
      </c>
      <c r="G5" s="2" t="s">
        <v>18</v>
      </c>
    </row>
    <row r="6" spans="1:7" x14ac:dyDescent="0.2">
      <c r="B6" s="4">
        <v>2</v>
      </c>
      <c r="C6" s="2" t="s">
        <v>19</v>
      </c>
      <c r="D6" s="2" t="str">
        <f t="shared" ref="D6:D33" si="0">LOWER(SUBSTITUTE(C6,"ATTR_",""))</f>
        <v>mp</v>
      </c>
      <c r="E6" s="6" t="s">
        <v>87</v>
      </c>
      <c r="F6" s="2">
        <v>1</v>
      </c>
      <c r="G6" s="2" t="s">
        <v>20</v>
      </c>
    </row>
    <row r="7" spans="1:7" x14ac:dyDescent="0.2">
      <c r="B7" s="4">
        <v>3</v>
      </c>
      <c r="C7" s="2" t="s">
        <v>21</v>
      </c>
      <c r="D7" s="2" t="str">
        <f t="shared" si="0"/>
        <v>stanima</v>
      </c>
      <c r="E7" s="6" t="s">
        <v>87</v>
      </c>
      <c r="F7" s="2">
        <v>1</v>
      </c>
      <c r="G7" s="2" t="s">
        <v>22</v>
      </c>
    </row>
    <row r="8" spans="1:7" x14ac:dyDescent="0.2">
      <c r="B8" s="4">
        <v>4</v>
      </c>
      <c r="C8" s="2" t="s">
        <v>23</v>
      </c>
      <c r="D8" s="2" t="str">
        <f t="shared" si="0"/>
        <v>exp</v>
      </c>
      <c r="E8" s="6" t="s">
        <v>87</v>
      </c>
      <c r="F8" s="2">
        <v>1</v>
      </c>
      <c r="G8" s="2" t="s">
        <v>24</v>
      </c>
    </row>
    <row r="9" spans="1:7" x14ac:dyDescent="0.2">
      <c r="B9" s="4">
        <v>5</v>
      </c>
      <c r="C9" s="2" t="s">
        <v>25</v>
      </c>
      <c r="D9" s="2" t="str">
        <f t="shared" si="0"/>
        <v>hp_max</v>
      </c>
      <c r="E9" s="6" t="s">
        <v>87</v>
      </c>
      <c r="F9" s="2">
        <v>1</v>
      </c>
      <c r="G9" s="2" t="s">
        <v>26</v>
      </c>
    </row>
    <row r="10" spans="1:7" x14ac:dyDescent="0.2">
      <c r="B10" s="4">
        <v>6</v>
      </c>
      <c r="C10" s="2" t="s">
        <v>27</v>
      </c>
      <c r="D10" s="2" t="str">
        <f t="shared" si="0"/>
        <v>mp_max</v>
      </c>
      <c r="E10" s="6" t="s">
        <v>87</v>
      </c>
      <c r="F10" s="2">
        <v>1</v>
      </c>
      <c r="G10" s="2" t="s">
        <v>28</v>
      </c>
    </row>
    <row r="11" spans="1:7" x14ac:dyDescent="0.2">
      <c r="B11" s="4">
        <v>7</v>
      </c>
      <c r="C11" s="2" t="s">
        <v>29</v>
      </c>
      <c r="D11" s="2" t="str">
        <f t="shared" si="0"/>
        <v>stanima_max</v>
      </c>
      <c r="E11" s="6" t="s">
        <v>87</v>
      </c>
      <c r="F11" s="2">
        <v>1</v>
      </c>
      <c r="G11" s="2" t="s">
        <v>30</v>
      </c>
    </row>
    <row r="12" spans="1:7" x14ac:dyDescent="0.2">
      <c r="B12" s="4">
        <v>8</v>
      </c>
      <c r="C12" s="2" t="s">
        <v>31</v>
      </c>
      <c r="D12" s="2" t="str">
        <f t="shared" si="0"/>
        <v>exp_max</v>
      </c>
      <c r="E12" s="6" t="s">
        <v>87</v>
      </c>
      <c r="F12" s="2">
        <v>1</v>
      </c>
      <c r="G12" s="2" t="s">
        <v>32</v>
      </c>
    </row>
    <row r="13" spans="1:7" x14ac:dyDescent="0.2">
      <c r="B13" s="4">
        <v>9</v>
      </c>
      <c r="C13" s="2" t="s">
        <v>33</v>
      </c>
      <c r="D13" s="2" t="str">
        <f t="shared" si="0"/>
        <v>level</v>
      </c>
      <c r="E13" s="6" t="s">
        <v>87</v>
      </c>
      <c r="F13" s="2">
        <v>0</v>
      </c>
      <c r="G13" s="2" t="s">
        <v>34</v>
      </c>
    </row>
    <row r="14" spans="1:7" x14ac:dyDescent="0.2">
      <c r="B14" s="4">
        <v>10</v>
      </c>
      <c r="C14" s="2" t="s">
        <v>35</v>
      </c>
      <c r="D14" s="2" t="str">
        <f t="shared" ref="D14:D15" si="1">LOWER(SUBSTITUTE(C14,"ATTR_",""))</f>
        <v>coin</v>
      </c>
      <c r="E14" s="6" t="s">
        <v>87</v>
      </c>
      <c r="F14" s="2">
        <v>1</v>
      </c>
      <c r="G14" s="2" t="s">
        <v>36</v>
      </c>
    </row>
    <row r="15" spans="1:7" x14ac:dyDescent="0.2">
      <c r="B15" s="4">
        <v>11</v>
      </c>
      <c r="C15" s="6" t="s">
        <v>96</v>
      </c>
      <c r="D15" s="2" t="str">
        <f t="shared" si="1"/>
        <v>name</v>
      </c>
      <c r="E15" s="6" t="s">
        <v>84</v>
      </c>
      <c r="F15" s="2">
        <v>0</v>
      </c>
      <c r="G15" s="6" t="s">
        <v>97</v>
      </c>
    </row>
    <row r="16" spans="1:7" x14ac:dyDescent="0.2">
      <c r="B16" s="4">
        <v>12</v>
      </c>
      <c r="C16" s="2" t="s">
        <v>37</v>
      </c>
      <c r="D16" s="2" t="str">
        <f t="shared" si="0"/>
        <v>diamond</v>
      </c>
      <c r="E16" s="6" t="s">
        <v>87</v>
      </c>
      <c r="F16" s="2">
        <v>1</v>
      </c>
      <c r="G16" s="2" t="s">
        <v>38</v>
      </c>
    </row>
    <row r="17" spans="2:8" x14ac:dyDescent="0.2">
      <c r="B17" s="4">
        <v>13</v>
      </c>
      <c r="C17" s="5" t="s">
        <v>39</v>
      </c>
      <c r="D17" s="5" t="str">
        <f t="shared" si="0"/>
        <v>proto_id</v>
      </c>
      <c r="E17" s="6" t="s">
        <v>87</v>
      </c>
      <c r="F17" s="5">
        <v>0</v>
      </c>
      <c r="G17" s="2" t="s">
        <v>40</v>
      </c>
    </row>
    <row r="18" spans="2:8" x14ac:dyDescent="0.2">
      <c r="B18" s="4">
        <v>14</v>
      </c>
      <c r="C18" s="2" t="s">
        <v>41</v>
      </c>
      <c r="D18" s="2" t="str">
        <f>LOWER(SUBSTITUTE(C18,"ATTR_",""))</f>
        <v>lucky</v>
      </c>
      <c r="E18" s="6" t="s">
        <v>87</v>
      </c>
      <c r="F18" s="2">
        <v>1</v>
      </c>
      <c r="G18" s="2" t="s">
        <v>42</v>
      </c>
    </row>
    <row r="19" spans="2:8" x14ac:dyDescent="0.2">
      <c r="B19" s="4">
        <v>15</v>
      </c>
      <c r="C19" s="5" t="s">
        <v>89</v>
      </c>
      <c r="D19" s="5" t="str">
        <f t="shared" si="0"/>
        <v>gender</v>
      </c>
      <c r="E19" s="6" t="s">
        <v>87</v>
      </c>
      <c r="F19" s="5">
        <v>0</v>
      </c>
      <c r="G19" s="6" t="s">
        <v>91</v>
      </c>
    </row>
    <row r="20" spans="2:8" x14ac:dyDescent="0.2">
      <c r="B20" s="4">
        <v>16</v>
      </c>
      <c r="C20" s="5" t="s">
        <v>88</v>
      </c>
      <c r="D20" s="2" t="str">
        <f>LOWER(SUBSTITUTE(C20,"ATTR_",""))</f>
        <v>custom</v>
      </c>
      <c r="E20" s="6" t="s">
        <v>90</v>
      </c>
      <c r="F20" s="5">
        <v>0</v>
      </c>
      <c r="G20" s="6" t="s">
        <v>92</v>
      </c>
    </row>
    <row r="21" spans="2:8" x14ac:dyDescent="0.2">
      <c r="B21" s="4">
        <v>21</v>
      </c>
      <c r="C21" s="6" t="s">
        <v>94</v>
      </c>
      <c r="D21" s="2" t="str">
        <f t="shared" ref="D21" si="2">LOWER(SUBSTITUTE(C21,"ATTR_",""))</f>
        <v>version</v>
      </c>
      <c r="E21" s="6" t="s">
        <v>87</v>
      </c>
      <c r="F21" s="2">
        <v>0</v>
      </c>
      <c r="G21" s="6" t="s">
        <v>95</v>
      </c>
    </row>
    <row r="22" spans="2:8" x14ac:dyDescent="0.2">
      <c r="B22" s="4">
        <v>21</v>
      </c>
      <c r="C22" s="2" t="s">
        <v>43</v>
      </c>
      <c r="D22" s="2" t="str">
        <f t="shared" si="0"/>
        <v>attack</v>
      </c>
      <c r="E22" s="6" t="s">
        <v>87</v>
      </c>
      <c r="F22" s="2">
        <v>1</v>
      </c>
      <c r="G22" s="2" t="s">
        <v>44</v>
      </c>
    </row>
    <row r="23" spans="2:8" x14ac:dyDescent="0.2">
      <c r="B23" s="4">
        <v>22</v>
      </c>
      <c r="C23" s="2" t="s">
        <v>45</v>
      </c>
      <c r="D23" s="2" t="str">
        <f t="shared" si="0"/>
        <v>defence</v>
      </c>
      <c r="E23" s="6" t="s">
        <v>87</v>
      </c>
      <c r="F23" s="2">
        <v>1</v>
      </c>
      <c r="G23" s="4" t="s">
        <v>46</v>
      </c>
    </row>
    <row r="24" spans="2:8" x14ac:dyDescent="0.2">
      <c r="B24" s="4">
        <v>23</v>
      </c>
      <c r="C24" s="4" t="s">
        <v>47</v>
      </c>
      <c r="D24" s="4" t="str">
        <f t="shared" si="0"/>
        <v>critical_rate</v>
      </c>
      <c r="E24" s="6" t="s">
        <v>87</v>
      </c>
      <c r="F24" s="4">
        <v>1</v>
      </c>
      <c r="G24" s="4" t="s">
        <v>48</v>
      </c>
      <c r="H24" s="2"/>
    </row>
    <row r="25" spans="2:8" x14ac:dyDescent="0.2">
      <c r="B25" s="4">
        <v>24</v>
      </c>
      <c r="C25" s="4" t="s">
        <v>49</v>
      </c>
      <c r="D25" s="4" t="str">
        <f t="shared" si="0"/>
        <v>critical_hurt</v>
      </c>
      <c r="E25" s="6" t="s">
        <v>87</v>
      </c>
      <c r="F25" s="4">
        <v>1</v>
      </c>
      <c r="G25" s="4" t="s">
        <v>50</v>
      </c>
    </row>
    <row r="26" spans="2:8" x14ac:dyDescent="0.2">
      <c r="B26" s="4">
        <v>51</v>
      </c>
      <c r="C26" s="2" t="s">
        <v>51</v>
      </c>
      <c r="D26" s="2" t="str">
        <f t="shared" si="0"/>
        <v>head</v>
      </c>
      <c r="E26" s="6" t="s">
        <v>87</v>
      </c>
      <c r="F26" s="2">
        <v>0</v>
      </c>
      <c r="G26" s="2" t="s">
        <v>52</v>
      </c>
    </row>
    <row r="27" spans="2:8" x14ac:dyDescent="0.2">
      <c r="B27" s="4">
        <v>52</v>
      </c>
      <c r="C27" s="2" t="s">
        <v>53</v>
      </c>
      <c r="D27" s="2" t="str">
        <f t="shared" si="0"/>
        <v>face</v>
      </c>
      <c r="E27" s="6" t="s">
        <v>87</v>
      </c>
      <c r="F27" s="2">
        <v>0</v>
      </c>
      <c r="G27" s="2" t="s">
        <v>54</v>
      </c>
    </row>
    <row r="28" spans="2:8" x14ac:dyDescent="0.2">
      <c r="B28" s="4">
        <v>53</v>
      </c>
      <c r="C28" s="2" t="s">
        <v>55</v>
      </c>
      <c r="D28" s="2" t="str">
        <f t="shared" si="0"/>
        <v>cloth</v>
      </c>
      <c r="E28" s="6" t="s">
        <v>87</v>
      </c>
      <c r="F28" s="2">
        <v>0</v>
      </c>
      <c r="G28" s="2" t="s">
        <v>56</v>
      </c>
    </row>
    <row r="29" spans="2:8" x14ac:dyDescent="0.2">
      <c r="B29" s="4">
        <v>54</v>
      </c>
      <c r="C29" s="2" t="s">
        <v>57</v>
      </c>
      <c r="D29" s="2" t="str">
        <f t="shared" si="0"/>
        <v>trousers</v>
      </c>
      <c r="E29" s="6" t="s">
        <v>87</v>
      </c>
      <c r="F29" s="2">
        <v>0</v>
      </c>
      <c r="G29" s="2" t="s">
        <v>58</v>
      </c>
    </row>
    <row r="30" spans="2:8" x14ac:dyDescent="0.2">
      <c r="B30" s="4">
        <v>55</v>
      </c>
      <c r="C30" s="2" t="s">
        <v>59</v>
      </c>
      <c r="D30" s="2" t="str">
        <f t="shared" si="0"/>
        <v>shoes</v>
      </c>
      <c r="E30" s="6" t="s">
        <v>87</v>
      </c>
      <c r="F30" s="2">
        <v>0</v>
      </c>
      <c r="G30" s="2" t="s">
        <v>60</v>
      </c>
    </row>
    <row r="31" spans="2:8" x14ac:dyDescent="0.2">
      <c r="B31" s="4">
        <v>56</v>
      </c>
      <c r="C31" s="2" t="s">
        <v>61</v>
      </c>
      <c r="D31" s="2" t="str">
        <f t="shared" si="0"/>
        <v>weapon</v>
      </c>
      <c r="E31" s="6" t="s">
        <v>87</v>
      </c>
      <c r="F31" s="2">
        <v>0</v>
      </c>
      <c r="G31" s="2" t="s">
        <v>62</v>
      </c>
    </row>
    <row r="32" spans="2:8" x14ac:dyDescent="0.2">
      <c r="B32" s="4">
        <v>57</v>
      </c>
      <c r="C32" s="2" t="s">
        <v>63</v>
      </c>
      <c r="D32" s="2" t="str">
        <f t="shared" si="0"/>
        <v>neck</v>
      </c>
      <c r="E32" s="6" t="s">
        <v>87</v>
      </c>
      <c r="F32" s="2">
        <v>0</v>
      </c>
      <c r="G32" s="2" t="s">
        <v>64</v>
      </c>
    </row>
    <row r="33" spans="2:7" x14ac:dyDescent="0.2">
      <c r="B33" s="4">
        <v>58</v>
      </c>
      <c r="C33" s="2" t="s">
        <v>65</v>
      </c>
      <c r="D33" s="2" t="str">
        <f t="shared" si="0"/>
        <v>ring</v>
      </c>
      <c r="E33" s="6" t="s">
        <v>87</v>
      </c>
      <c r="F33" s="2">
        <v>0</v>
      </c>
      <c r="G33" s="2" t="s">
        <v>66</v>
      </c>
    </row>
    <row r="34" spans="2:7" x14ac:dyDescent="0.2">
      <c r="B34" s="4">
        <v>101</v>
      </c>
      <c r="C34" s="2" t="s">
        <v>67</v>
      </c>
      <c r="D34" s="2" t="str">
        <f>LOWER(SUBSTITUTE(C34,"ATTR_",""))</f>
        <v>map_id</v>
      </c>
      <c r="E34" s="6" t="s">
        <v>87</v>
      </c>
      <c r="F34" s="2">
        <v>0</v>
      </c>
      <c r="G34" s="2" t="s">
        <v>68</v>
      </c>
    </row>
    <row r="35" spans="2:7" x14ac:dyDescent="0.2">
      <c r="B35" s="4">
        <v>102</v>
      </c>
      <c r="C35" s="2" t="s">
        <v>69</v>
      </c>
      <c r="D35" s="2" t="str">
        <f>LOWER(SUBSTITUTE(C35,"ATTR_",""))</f>
        <v>pos_x</v>
      </c>
      <c r="E35" s="6" t="s">
        <v>87</v>
      </c>
      <c r="F35" s="2">
        <v>0</v>
      </c>
      <c r="G35" s="2" t="s">
        <v>70</v>
      </c>
    </row>
    <row r="36" spans="2:7" x14ac:dyDescent="0.2">
      <c r="B36" s="4">
        <v>103</v>
      </c>
      <c r="C36" s="2" t="s">
        <v>71</v>
      </c>
      <c r="D36" s="2" t="str">
        <f>LOWER(SUBSTITUTE(C36,"ATTR_",""))</f>
        <v>pos_y</v>
      </c>
      <c r="E36" s="6" t="s">
        <v>87</v>
      </c>
      <c r="F36" s="2">
        <v>0</v>
      </c>
      <c r="G36" s="2" t="s">
        <v>70</v>
      </c>
    </row>
    <row r="37" spans="2:7" x14ac:dyDescent="0.2">
      <c r="B37" s="4">
        <v>104</v>
      </c>
      <c r="C37" s="2" t="s">
        <v>72</v>
      </c>
      <c r="D37" s="2" t="str">
        <f>LOWER(SUBSTITUTE(C37,"ATTR_",""))</f>
        <v>pos_z</v>
      </c>
      <c r="E37" s="6" t="s">
        <v>87</v>
      </c>
      <c r="F37" s="2">
        <v>0</v>
      </c>
      <c r="G37" s="2" t="s">
        <v>70</v>
      </c>
    </row>
    <row r="38" spans="2:7" x14ac:dyDescent="0.2">
      <c r="B38" s="4">
        <v>105</v>
      </c>
      <c r="C38" s="2" t="s">
        <v>73</v>
      </c>
      <c r="D38" s="2" t="str">
        <f>LOWER(SUBSTITUTE(C38,"ATTR_",""))</f>
        <v>line</v>
      </c>
      <c r="E38" s="6" t="s">
        <v>87</v>
      </c>
      <c r="F38" s="2">
        <v>0</v>
      </c>
      <c r="G38" s="4" t="s">
        <v>74</v>
      </c>
    </row>
  </sheetData>
  <phoneticPr fontId="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37"/>
  <sheetViews>
    <sheetView tabSelected="1" workbookViewId="0">
      <selection activeCell="F21" sqref="F21"/>
    </sheetView>
  </sheetViews>
  <sheetFormatPr defaultColWidth="9" defaultRowHeight="14.25" x14ac:dyDescent="0.2"/>
  <cols>
    <col min="2" max="2" width="19.875" customWidth="1"/>
    <col min="6" max="6" width="20.625" customWidth="1"/>
  </cols>
  <sheetData>
    <row r="1" spans="1:11" ht="21" x14ac:dyDescent="0.2">
      <c r="A1" s="1" t="s">
        <v>0</v>
      </c>
      <c r="B1" s="2" t="s">
        <v>2</v>
      </c>
      <c r="C1" s="2" t="s">
        <v>75</v>
      </c>
      <c r="D1" s="2" t="s">
        <v>76</v>
      </c>
      <c r="E1" s="2" t="s">
        <v>77</v>
      </c>
      <c r="F1" s="2" t="s">
        <v>78</v>
      </c>
    </row>
    <row r="2" spans="1:11" x14ac:dyDescent="0.2">
      <c r="A2" s="3" t="s">
        <v>6</v>
      </c>
      <c r="B2" s="4" t="s">
        <v>8</v>
      </c>
      <c r="C2" s="4" t="s">
        <v>7</v>
      </c>
      <c r="D2" s="2" t="s">
        <v>9</v>
      </c>
      <c r="E2" s="2" t="s">
        <v>9</v>
      </c>
      <c r="F2" s="6" t="s">
        <v>84</v>
      </c>
    </row>
    <row r="3" spans="1:11" x14ac:dyDescent="0.2">
      <c r="A3" s="3" t="s">
        <v>10</v>
      </c>
      <c r="B3" s="4" t="s">
        <v>8</v>
      </c>
      <c r="C3" s="4" t="s">
        <v>7</v>
      </c>
      <c r="D3" s="2" t="s">
        <v>9</v>
      </c>
      <c r="E3" s="2" t="s">
        <v>9</v>
      </c>
      <c r="F3" s="6" t="s">
        <v>84</v>
      </c>
    </row>
    <row r="4" spans="1:11" x14ac:dyDescent="0.2">
      <c r="A4" s="3" t="s">
        <v>11</v>
      </c>
      <c r="B4" s="2" t="s">
        <v>79</v>
      </c>
      <c r="C4" s="2" t="s">
        <v>80</v>
      </c>
      <c r="D4" s="2" t="s">
        <v>81</v>
      </c>
      <c r="E4" s="2" t="s">
        <v>82</v>
      </c>
      <c r="F4" s="2" t="s">
        <v>83</v>
      </c>
    </row>
    <row r="5" spans="1:11" x14ac:dyDescent="0.2">
      <c r="A5" s="3" t="s">
        <v>16</v>
      </c>
      <c r="B5" s="2" t="s">
        <v>17</v>
      </c>
      <c r="C5" s="2">
        <v>16</v>
      </c>
      <c r="D5" s="2">
        <v>1</v>
      </c>
      <c r="E5" s="2">
        <v>0</v>
      </c>
      <c r="F5" s="4" t="str">
        <f>_xlfn.CONCAT(B5,"_MAX")</f>
        <v>ATTR_HP_MAX</v>
      </c>
    </row>
    <row r="6" spans="1:11" x14ac:dyDescent="0.2">
      <c r="A6" s="4"/>
      <c r="B6" s="2" t="s">
        <v>19</v>
      </c>
      <c r="C6" s="2">
        <v>1</v>
      </c>
      <c r="D6" s="2">
        <v>1</v>
      </c>
      <c r="E6" s="2">
        <v>0</v>
      </c>
      <c r="F6" s="4" t="str">
        <f t="shared" ref="F6:F8" si="0">_xlfn.CONCAT(B6,"_MAX")</f>
        <v>ATTR_MP_MAX</v>
      </c>
    </row>
    <row r="7" spans="1:11" x14ac:dyDescent="0.2">
      <c r="A7" s="4"/>
      <c r="B7" s="2" t="s">
        <v>21</v>
      </c>
      <c r="C7" s="2">
        <v>1</v>
      </c>
      <c r="D7" s="2">
        <v>1</v>
      </c>
      <c r="E7" s="2">
        <v>0</v>
      </c>
      <c r="F7" s="4" t="str">
        <f t="shared" si="0"/>
        <v>ATTR_STANIMA_MAX</v>
      </c>
    </row>
    <row r="8" spans="1:11" x14ac:dyDescent="0.2">
      <c r="A8" s="4"/>
      <c r="B8" s="2" t="s">
        <v>23</v>
      </c>
      <c r="C8" s="2">
        <v>1</v>
      </c>
      <c r="D8" s="2">
        <v>1</v>
      </c>
      <c r="E8" s="2">
        <v>0</v>
      </c>
      <c r="F8" s="4" t="str">
        <f t="shared" si="0"/>
        <v>ATTR_EXP_MAX</v>
      </c>
    </row>
    <row r="9" spans="1:11" x14ac:dyDescent="0.2">
      <c r="A9" s="4"/>
      <c r="B9" s="2" t="s">
        <v>25</v>
      </c>
      <c r="C9" s="2">
        <v>16</v>
      </c>
      <c r="D9" s="2">
        <v>0</v>
      </c>
      <c r="E9" s="2">
        <v>0</v>
      </c>
      <c r="F9" s="2"/>
    </row>
    <row r="10" spans="1:11" x14ac:dyDescent="0.2">
      <c r="A10" s="4"/>
      <c r="B10" s="2" t="s">
        <v>27</v>
      </c>
      <c r="C10" s="2">
        <v>1</v>
      </c>
      <c r="D10" s="2">
        <v>0</v>
      </c>
      <c r="E10" s="2">
        <v>0</v>
      </c>
      <c r="F10" s="2"/>
    </row>
    <row r="11" spans="1:11" x14ac:dyDescent="0.2">
      <c r="A11" s="4"/>
      <c r="B11" s="2" t="s">
        <v>29</v>
      </c>
      <c r="C11" s="2">
        <v>1</v>
      </c>
      <c r="D11" s="2">
        <v>0</v>
      </c>
      <c r="E11" s="2">
        <v>0</v>
      </c>
      <c r="F11" s="2"/>
    </row>
    <row r="12" spans="1:11" x14ac:dyDescent="0.2">
      <c r="A12" s="4"/>
      <c r="B12" s="2" t="s">
        <v>31</v>
      </c>
      <c r="C12" s="2">
        <v>1</v>
      </c>
      <c r="D12" s="2">
        <v>0</v>
      </c>
      <c r="E12" s="2">
        <v>0</v>
      </c>
      <c r="F12" s="2"/>
    </row>
    <row r="13" spans="1:11" x14ac:dyDescent="0.2">
      <c r="A13" s="4"/>
      <c r="B13" s="2" t="s">
        <v>33</v>
      </c>
      <c r="C13" s="2">
        <v>16</v>
      </c>
      <c r="D13" s="2">
        <v>1</v>
      </c>
      <c r="E13" s="2">
        <v>0</v>
      </c>
      <c r="F13" s="2"/>
      <c r="J13" s="7"/>
      <c r="K13" s="2"/>
    </row>
    <row r="14" spans="1:11" x14ac:dyDescent="0.2">
      <c r="A14" s="4"/>
      <c r="B14" s="2" t="s">
        <v>35</v>
      </c>
      <c r="C14" s="2">
        <v>1</v>
      </c>
      <c r="D14" s="2">
        <v>1</v>
      </c>
      <c r="E14" s="2">
        <v>0</v>
      </c>
      <c r="F14" s="2"/>
    </row>
    <row r="15" spans="1:11" x14ac:dyDescent="0.2">
      <c r="A15" s="4"/>
      <c r="B15" s="6" t="s">
        <v>96</v>
      </c>
      <c r="C15" s="2">
        <v>16</v>
      </c>
      <c r="D15" s="2">
        <v>1</v>
      </c>
      <c r="E15" s="2">
        <v>0</v>
      </c>
      <c r="F15" s="2"/>
    </row>
    <row r="16" spans="1:11" x14ac:dyDescent="0.2">
      <c r="A16" s="4"/>
      <c r="B16" s="2" t="s">
        <v>37</v>
      </c>
      <c r="C16" s="2">
        <v>1</v>
      </c>
      <c r="D16" s="2">
        <v>1</v>
      </c>
      <c r="E16" s="2">
        <v>0</v>
      </c>
      <c r="F16" s="2"/>
    </row>
    <row r="17" spans="1:6" x14ac:dyDescent="0.2">
      <c r="A17" s="4"/>
      <c r="B17" s="2" t="s">
        <v>41</v>
      </c>
      <c r="C17" s="2">
        <v>1</v>
      </c>
      <c r="D17" s="2">
        <v>1</v>
      </c>
      <c r="E17" s="2">
        <v>0</v>
      </c>
      <c r="F17" s="2"/>
    </row>
    <row r="18" spans="1:6" x14ac:dyDescent="0.2">
      <c r="A18" s="4"/>
      <c r="B18" s="6" t="s">
        <v>93</v>
      </c>
      <c r="C18" s="2">
        <v>1</v>
      </c>
      <c r="D18" s="2">
        <v>0</v>
      </c>
      <c r="E18" s="2">
        <v>0</v>
      </c>
      <c r="F18" s="2"/>
    </row>
    <row r="19" spans="1:6" x14ac:dyDescent="0.2">
      <c r="A19" s="4"/>
      <c r="B19" s="2" t="s">
        <v>88</v>
      </c>
      <c r="C19" s="2">
        <v>16</v>
      </c>
      <c r="D19" s="2">
        <v>0</v>
      </c>
      <c r="E19" s="2">
        <v>0</v>
      </c>
      <c r="F19" s="2"/>
    </row>
    <row r="20" spans="1:6" x14ac:dyDescent="0.2">
      <c r="A20" s="4"/>
      <c r="B20" s="6" t="s">
        <v>94</v>
      </c>
      <c r="C20" s="2">
        <v>0</v>
      </c>
      <c r="D20" s="2">
        <v>1</v>
      </c>
      <c r="E20" s="2">
        <v>0</v>
      </c>
      <c r="F20" s="2"/>
    </row>
    <row r="21" spans="1:6" x14ac:dyDescent="0.2">
      <c r="A21" s="4"/>
      <c r="B21" s="2" t="s">
        <v>43</v>
      </c>
      <c r="C21" s="2">
        <v>1</v>
      </c>
      <c r="D21" s="2">
        <v>0</v>
      </c>
      <c r="E21" s="2">
        <v>0</v>
      </c>
      <c r="F21" s="2"/>
    </row>
    <row r="22" spans="1:6" x14ac:dyDescent="0.2">
      <c r="A22" s="4"/>
      <c r="B22" s="2" t="s">
        <v>45</v>
      </c>
      <c r="C22" s="2">
        <v>1</v>
      </c>
      <c r="D22" s="2">
        <v>0</v>
      </c>
      <c r="E22" s="2">
        <v>0</v>
      </c>
      <c r="F22" s="2"/>
    </row>
    <row r="23" spans="1:6" x14ac:dyDescent="0.2">
      <c r="A23" s="4"/>
      <c r="B23" s="4" t="s">
        <v>47</v>
      </c>
      <c r="C23" s="2">
        <v>1</v>
      </c>
      <c r="D23" s="2">
        <v>0</v>
      </c>
      <c r="E23" s="2">
        <v>0</v>
      </c>
      <c r="F23" s="2"/>
    </row>
    <row r="24" spans="1:6" x14ac:dyDescent="0.2">
      <c r="A24" s="4"/>
      <c r="B24" s="4" t="s">
        <v>49</v>
      </c>
      <c r="C24" s="2">
        <v>1</v>
      </c>
      <c r="D24" s="2">
        <v>0</v>
      </c>
      <c r="E24" s="2">
        <v>0</v>
      </c>
      <c r="F24" s="4"/>
    </row>
    <row r="25" spans="1:6" x14ac:dyDescent="0.2">
      <c r="A25" s="4"/>
      <c r="B25" s="2" t="s">
        <v>51</v>
      </c>
      <c r="C25" s="2">
        <v>16</v>
      </c>
      <c r="D25" s="2">
        <v>1</v>
      </c>
      <c r="E25" s="2">
        <v>0</v>
      </c>
      <c r="F25" s="4"/>
    </row>
    <row r="26" spans="1:6" x14ac:dyDescent="0.2">
      <c r="A26" s="4"/>
      <c r="B26" s="2" t="s">
        <v>53</v>
      </c>
      <c r="C26" s="2">
        <v>16</v>
      </c>
      <c r="D26" s="2">
        <v>1</v>
      </c>
      <c r="E26" s="2">
        <v>0</v>
      </c>
      <c r="F26" s="2"/>
    </row>
    <row r="27" spans="1:6" x14ac:dyDescent="0.2">
      <c r="A27" s="4"/>
      <c r="B27" s="2" t="s">
        <v>55</v>
      </c>
      <c r="C27" s="2">
        <v>16</v>
      </c>
      <c r="D27" s="2">
        <v>1</v>
      </c>
      <c r="E27" s="2">
        <v>0</v>
      </c>
      <c r="F27" s="2"/>
    </row>
    <row r="28" spans="1:6" x14ac:dyDescent="0.2">
      <c r="A28" s="4"/>
      <c r="B28" s="2" t="s">
        <v>57</v>
      </c>
      <c r="C28" s="2">
        <v>16</v>
      </c>
      <c r="D28" s="2">
        <v>1</v>
      </c>
      <c r="E28" s="2">
        <v>0</v>
      </c>
      <c r="F28" s="2"/>
    </row>
    <row r="29" spans="1:6" x14ac:dyDescent="0.2">
      <c r="A29" s="4"/>
      <c r="B29" s="2" t="s">
        <v>59</v>
      </c>
      <c r="C29" s="2">
        <v>16</v>
      </c>
      <c r="D29" s="2">
        <v>1</v>
      </c>
      <c r="E29" s="2">
        <v>0</v>
      </c>
      <c r="F29" s="2"/>
    </row>
    <row r="30" spans="1:6" x14ac:dyDescent="0.2">
      <c r="A30" s="4"/>
      <c r="B30" s="2" t="s">
        <v>61</v>
      </c>
      <c r="C30" s="2">
        <v>16</v>
      </c>
      <c r="D30" s="2">
        <v>1</v>
      </c>
      <c r="E30" s="2">
        <v>0</v>
      </c>
      <c r="F30" s="2"/>
    </row>
    <row r="31" spans="1:6" x14ac:dyDescent="0.2">
      <c r="A31" s="4"/>
      <c r="B31" s="2" t="s">
        <v>63</v>
      </c>
      <c r="C31" s="2">
        <v>0</v>
      </c>
      <c r="D31" s="2">
        <v>0</v>
      </c>
      <c r="E31" s="2">
        <v>0</v>
      </c>
      <c r="F31" s="2"/>
    </row>
    <row r="32" spans="1:6" x14ac:dyDescent="0.2">
      <c r="A32" s="4"/>
      <c r="B32" s="2" t="s">
        <v>65</v>
      </c>
      <c r="C32" s="2">
        <v>0</v>
      </c>
      <c r="D32" s="2">
        <v>0</v>
      </c>
      <c r="E32" s="2">
        <v>0</v>
      </c>
      <c r="F32" s="2"/>
    </row>
    <row r="33" spans="2:6" x14ac:dyDescent="0.2">
      <c r="B33" s="2" t="s">
        <v>67</v>
      </c>
      <c r="C33" s="2">
        <v>0</v>
      </c>
      <c r="D33" s="2">
        <v>1</v>
      </c>
      <c r="E33" s="2">
        <v>0</v>
      </c>
      <c r="F33" s="4"/>
    </row>
    <row r="34" spans="2:6" x14ac:dyDescent="0.2">
      <c r="B34" s="2" t="s">
        <v>69</v>
      </c>
      <c r="C34" s="2">
        <v>0</v>
      </c>
      <c r="D34" s="2">
        <v>1</v>
      </c>
      <c r="E34" s="2">
        <v>0</v>
      </c>
      <c r="F34" s="2"/>
    </row>
    <row r="35" spans="2:6" x14ac:dyDescent="0.2">
      <c r="B35" s="2" t="s">
        <v>71</v>
      </c>
      <c r="C35" s="2">
        <v>0</v>
      </c>
      <c r="D35" s="2">
        <v>1</v>
      </c>
      <c r="E35" s="2">
        <v>0</v>
      </c>
      <c r="F35" s="2"/>
    </row>
    <row r="36" spans="2:6" x14ac:dyDescent="0.2">
      <c r="B36" s="2" t="s">
        <v>72</v>
      </c>
      <c r="C36" s="2">
        <v>0</v>
      </c>
      <c r="D36" s="2">
        <v>1</v>
      </c>
      <c r="E36" s="2">
        <v>0</v>
      </c>
      <c r="F36" s="2"/>
    </row>
    <row r="37" spans="2:6" x14ac:dyDescent="0.2">
      <c r="B37" s="2" t="s">
        <v>73</v>
      </c>
      <c r="C37" s="2">
        <v>0</v>
      </c>
      <c r="D37" s="2">
        <v>1</v>
      </c>
      <c r="E37" s="2">
        <v>0</v>
      </c>
      <c r="F37" s="2"/>
    </row>
  </sheetData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attribute</vt:lpstr>
      <vt:lpstr>player_attr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2023-03-09T05:42:29Z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